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slicers/slicer2.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matheuspaula\Desktop\"/>
    </mc:Choice>
  </mc:AlternateContent>
  <xr:revisionPtr revIDLastSave="0" documentId="13_ncr:1_{755452E4-4811-428E-A2E2-A8B151988070}" xr6:coauthVersionLast="47" xr6:coauthVersionMax="47" xr10:uidLastSave="{00000000-0000-0000-0000-000000000000}"/>
  <bookViews>
    <workbookView xWindow="-120" yWindow="-120" windowWidth="20730" windowHeight="11040" activeTab="2" xr2:uid="{00000000-000D-0000-FFFF-FFFF00000000}"/>
  </bookViews>
  <sheets>
    <sheet name="Manual de Uso" sheetId="6" r:id="rId1"/>
    <sheet name="DashBoard Análise" sheetId="4" r:id="rId2"/>
    <sheet name="Registro de Cantoneira" sheetId="1" r:id="rId3"/>
    <sheet name="Sheet2" sheetId="2" state="hidden" r:id="rId4"/>
    <sheet name="Dados" sheetId="5" state="hidden" r:id="rId5"/>
  </sheets>
  <externalReferences>
    <externalReference r:id="rId6"/>
  </externalReferences>
  <definedNames>
    <definedName name="_xlnm._FilterDatabase" localSheetId="2" hidden="1">'Registro de Cantoneira'!$B$2:$L$906</definedName>
    <definedName name="Slicer_Ano">#N/A</definedName>
    <definedName name="Slicer_Ano1">#N/A</definedName>
    <definedName name="Slicer_Mês">#N/A</definedName>
    <definedName name="Slicer_Mês1">#N/A</definedName>
    <definedName name="Slicer_Reposição_Cobrar">#N/A</definedName>
  </definedNames>
  <calcPr calcId="18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 i="1" l="1"/>
  <c r="L906" i="1"/>
  <c r="L905" i="1"/>
  <c r="L904" i="1"/>
  <c r="L54" i="1"/>
  <c r="L903" i="1"/>
  <c r="L902" i="1"/>
  <c r="L901" i="1"/>
  <c r="L900" i="1"/>
  <c r="L899" i="1"/>
  <c r="L898" i="1"/>
  <c r="L897" i="1"/>
  <c r="L896" i="1"/>
  <c r="L895" i="1"/>
  <c r="L894" i="1"/>
  <c r="L893" i="1"/>
  <c r="L892" i="1"/>
  <c r="L891" i="1"/>
  <c r="L890" i="1"/>
  <c r="L889" i="1"/>
  <c r="L888" i="1"/>
  <c r="L886" i="1"/>
  <c r="L885" i="1"/>
  <c r="L887" i="1"/>
  <c r="L884" i="1"/>
  <c r="L883" i="1"/>
  <c r="L882" i="1"/>
  <c r="L881" i="1"/>
  <c r="L880" i="1"/>
  <c r="L879" i="1"/>
  <c r="L878" i="1"/>
  <c r="L877" i="1"/>
  <c r="L876" i="1"/>
  <c r="L875" i="1"/>
  <c r="L871" i="1"/>
  <c r="L874" i="1"/>
  <c r="L873" i="1"/>
  <c r="L872"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2" i="1"/>
  <c r="L821" i="1"/>
  <c r="L820" i="1"/>
  <c r="L819" i="1"/>
  <c r="L818" i="1"/>
  <c r="L815" i="1"/>
  <c r="L823" i="1"/>
  <c r="L817" i="1"/>
  <c r="L816"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3" i="1"/>
  <c r="L782" i="1"/>
  <c r="L784"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673" i="1"/>
  <c r="L698" i="1"/>
  <c r="L697" i="1"/>
  <c r="L690" i="1" l="1"/>
  <c r="L702" i="1"/>
  <c r="L700" i="1"/>
  <c r="L701" i="1"/>
  <c r="L703" i="1"/>
  <c r="L704" i="1"/>
  <c r="L705" i="1"/>
  <c r="L706" i="1"/>
  <c r="L707" i="1"/>
  <c r="L708" i="1"/>
  <c r="L699" i="1"/>
  <c r="L696" i="1"/>
  <c r="L695" i="1"/>
  <c r="L694" i="1" l="1"/>
  <c r="L693" i="1"/>
  <c r="L692" i="1"/>
  <c r="L691" i="1"/>
  <c r="L689" i="1"/>
  <c r="L688" i="1"/>
  <c r="L687" i="1"/>
  <c r="L686" i="1"/>
  <c r="L685" i="1"/>
  <c r="L684" i="1"/>
  <c r="L683" i="1"/>
  <c r="L682" i="1"/>
  <c r="L681" i="1"/>
  <c r="L680" i="1"/>
  <c r="L677" i="1"/>
  <c r="L679" i="1"/>
  <c r="L678" i="1"/>
  <c r="L594" i="1"/>
  <c r="L641" i="1" l="1"/>
  <c r="L640" i="1" l="1"/>
  <c r="L642" i="1"/>
  <c r="L643" i="1"/>
  <c r="L639" i="1"/>
  <c r="L625" i="1" l="1"/>
  <c r="L624" i="1"/>
  <c r="L623" i="1"/>
  <c r="L617" i="1"/>
  <c r="L611" i="1" l="1"/>
  <c r="L618" i="1"/>
  <c r="L610" i="1" l="1"/>
  <c r="L608" i="1"/>
  <c r="L607" i="1"/>
  <c r="L606" i="1"/>
  <c r="L605" i="1"/>
  <c r="L604" i="1"/>
  <c r="L603" i="1"/>
  <c r="L602" i="1"/>
  <c r="L601" i="1"/>
  <c r="L600" i="1"/>
  <c r="L599" i="1"/>
  <c r="L598" i="1"/>
  <c r="L609" i="1"/>
  <c r="L524" i="1" l="1"/>
  <c r="L676" i="1" l="1"/>
  <c r="L675" i="1"/>
  <c r="L674"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38" i="1"/>
  <c r="L637" i="1"/>
  <c r="L636" i="1"/>
  <c r="L635" i="1"/>
  <c r="L634" i="1"/>
  <c r="L633" i="1"/>
  <c r="L632" i="1"/>
  <c r="L631" i="1"/>
  <c r="L630" i="1"/>
  <c r="L629" i="1"/>
  <c r="L628" i="1"/>
  <c r="L627" i="1"/>
  <c r="L626" i="1"/>
  <c r="L622" i="1"/>
  <c r="L621" i="1"/>
  <c r="L620" i="1"/>
  <c r="L619" i="1"/>
  <c r="L616" i="1"/>
  <c r="L615" i="1"/>
  <c r="L614" i="1"/>
  <c r="L613" i="1"/>
  <c r="L612" i="1"/>
  <c r="L597" i="1"/>
  <c r="L596" i="1"/>
  <c r="L595" i="1"/>
  <c r="L593" i="1"/>
  <c r="L592" i="1"/>
  <c r="L591" i="1"/>
  <c r="L590" i="1"/>
  <c r="L589" i="1"/>
  <c r="L588" i="1"/>
  <c r="L587" i="1"/>
  <c r="L586" i="1"/>
  <c r="L585" i="1"/>
  <c r="L584" i="1"/>
  <c r="L572" i="1"/>
  <c r="L583" i="1"/>
  <c r="L582" i="1"/>
  <c r="L581" i="1"/>
  <c r="L580" i="1"/>
  <c r="L579" i="1"/>
  <c r="L578" i="1"/>
  <c r="L577" i="1"/>
  <c r="L576" i="1"/>
  <c r="L575" i="1"/>
  <c r="L574" i="1"/>
  <c r="L573"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5" i="1"/>
  <c r="L523" i="1"/>
  <c r="L529" i="1"/>
  <c r="L528" i="1"/>
  <c r="L527" i="1"/>
  <c r="L526" i="1"/>
  <c r="L522" i="1"/>
  <c r="L521" i="1"/>
  <c r="L520" i="1"/>
  <c r="L514" i="1"/>
  <c r="L513" i="1"/>
  <c r="L515" i="1"/>
  <c r="L519" i="1"/>
  <c r="L518" i="1"/>
  <c r="L517" i="1"/>
  <c r="L516" i="1"/>
  <c r="L512" i="1"/>
  <c r="L511" i="1"/>
  <c r="L510" i="1"/>
  <c r="L508" i="1"/>
  <c r="L509" i="1"/>
  <c r="L507" i="1"/>
  <c r="L506" i="1"/>
  <c r="L505" i="1"/>
  <c r="L429" i="1"/>
  <c r="L504" i="1"/>
  <c r="L503" i="1"/>
  <c r="L502" i="1"/>
  <c r="L501" i="1"/>
  <c r="L415" i="1" l="1"/>
  <c r="L413" i="1"/>
  <c r="L420" i="1"/>
  <c r="L416" i="1"/>
  <c r="L417" i="1"/>
  <c r="L408" i="1"/>
  <c r="L414" i="1"/>
  <c r="L418" i="1"/>
  <c r="L419" i="1"/>
  <c r="L421" i="1"/>
  <c r="L422" i="1"/>
  <c r="L423" i="1"/>
  <c r="L424" i="1"/>
  <c r="L425" i="1"/>
  <c r="L426" i="1"/>
  <c r="L427" i="1"/>
  <c r="L428" i="1"/>
  <c r="L430" i="1"/>
  <c r="L431" i="1"/>
  <c r="L500"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401" i="1" l="1"/>
  <c r="L402" i="1"/>
  <c r="L403" i="1"/>
  <c r="L404" i="1"/>
  <c r="L405" i="1"/>
  <c r="L406" i="1"/>
  <c r="L407" i="1"/>
  <c r="L409" i="1"/>
  <c r="L412" i="1"/>
  <c r="L410" i="1"/>
  <c r="L411" i="1"/>
  <c r="L400" i="1"/>
  <c r="L399" i="1"/>
  <c r="L398" i="1" l="1"/>
  <c r="L395" i="1" l="1"/>
  <c r="L397" i="1"/>
  <c r="L393" i="1"/>
  <c r="L391" i="1"/>
  <c r="L396" i="1"/>
  <c r="L394" i="1" l="1"/>
  <c r="L392" i="1" l="1"/>
  <c r="L382" i="1"/>
  <c r="L390" i="1" l="1"/>
  <c r="L389" i="1"/>
  <c r="L388" i="1"/>
  <c r="L387" i="1"/>
  <c r="L386" i="1" l="1"/>
  <c r="L385" i="1" l="1"/>
  <c r="L381" i="1"/>
  <c r="L380" i="1"/>
  <c r="L384" i="1"/>
  <c r="L383" i="1"/>
  <c r="L379" i="1" l="1"/>
  <c r="L377" i="1" l="1"/>
  <c r="L376" i="1"/>
  <c r="L378" i="1"/>
  <c r="L375" i="1" l="1"/>
  <c r="L374" i="1" l="1"/>
  <c r="L373" i="1" l="1"/>
  <c r="L372" i="1"/>
  <c r="L370" i="1"/>
  <c r="L371" i="1"/>
  <c r="L368" i="1" l="1"/>
  <c r="L369" i="1"/>
  <c r="L367" i="1" l="1"/>
  <c r="L366" i="1"/>
  <c r="L365" i="1" l="1"/>
  <c r="L359" i="1" l="1"/>
  <c r="L364" i="1" l="1"/>
  <c r="L363" i="1"/>
  <c r="L362" i="1"/>
  <c r="L361" i="1"/>
  <c r="L358" i="1"/>
  <c r="L357" i="1"/>
  <c r="L360" i="1" l="1"/>
  <c r="L356" i="1" l="1"/>
  <c r="L334" i="1" l="1"/>
  <c r="L335" i="1"/>
  <c r="L336" i="1"/>
  <c r="L337" i="1"/>
  <c r="L338" i="1"/>
  <c r="L339" i="1"/>
  <c r="L340" i="1"/>
  <c r="L341" i="1"/>
  <c r="L342" i="1"/>
  <c r="L343" i="1"/>
  <c r="L344" i="1"/>
  <c r="L345" i="1"/>
  <c r="L346" i="1"/>
  <c r="L347" i="1"/>
  <c r="L349" i="1"/>
  <c r="L333" i="1"/>
  <c r="L350" i="1"/>
  <c r="L351" i="1"/>
  <c r="L353" i="1"/>
  <c r="L352" i="1"/>
  <c r="L354" i="1"/>
  <c r="L355" i="1"/>
  <c r="L328" i="1"/>
  <c r="L329" i="1"/>
  <c r="L330" i="1"/>
  <c r="L331" i="1"/>
  <c r="L332" i="1"/>
  <c r="L348" i="1"/>
  <c r="L327" i="1" l="1"/>
  <c r="L319" i="1"/>
  <c r="L317" i="1"/>
  <c r="L318" i="1"/>
  <c r="L321" i="1"/>
  <c r="L320" i="1"/>
  <c r="L322" i="1"/>
  <c r="L323" i="1"/>
  <c r="L326" i="1"/>
  <c r="L324" i="1"/>
  <c r="L325" i="1"/>
  <c r="L316" i="1"/>
  <c r="L315" i="1"/>
  <c r="L312" i="1"/>
  <c r="L313" i="1"/>
  <c r="L314" i="1"/>
  <c r="L311" i="1"/>
  <c r="L310" i="1"/>
  <c r="L309" i="1"/>
  <c r="L308" i="1"/>
  <c r="L307" i="1"/>
  <c r="L306" i="1"/>
  <c r="L305" i="1"/>
  <c r="L304" i="1"/>
  <c r="L303" i="1" l="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l="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l="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l="1"/>
  <c r="L186" i="1"/>
  <c r="L185" i="1"/>
  <c r="L184" i="1"/>
  <c r="L183" i="1"/>
  <c r="L182" i="1"/>
  <c r="L181" i="1"/>
  <c r="L180" i="1"/>
  <c r="L140" i="1"/>
  <c r="L139" i="1"/>
  <c r="L138" i="1"/>
  <c r="L137" i="1"/>
  <c r="L136" i="1"/>
  <c r="L143" i="1"/>
  <c r="L142" i="1"/>
  <c r="L135" i="1"/>
  <c r="L144" i="1"/>
  <c r="L149" i="1"/>
  <c r="L148" i="1"/>
  <c r="L147" i="1"/>
  <c r="L146" i="1"/>
  <c r="L145" i="1"/>
  <c r="L141" i="1"/>
  <c r="L134" i="1"/>
  <c r="L152" i="1"/>
  <c r="L151" i="1"/>
  <c r="L154" i="1"/>
  <c r="L150" i="1"/>
  <c r="L153" i="1"/>
  <c r="L157" i="1"/>
  <c r="L156" i="1"/>
  <c r="L159" i="1"/>
  <c r="L158" i="1"/>
  <c r="L155" i="1"/>
  <c r="L162" i="1"/>
  <c r="L161" i="1"/>
  <c r="L165" i="1"/>
  <c r="L164" i="1"/>
  <c r="L163" i="1"/>
  <c r="L169" i="1"/>
  <c r="L168" i="1"/>
  <c r="L160" i="1"/>
  <c r="L167" i="1"/>
  <c r="L166" i="1"/>
  <c r="L170" i="1"/>
  <c r="L177" i="1"/>
  <c r="L179" i="1"/>
  <c r="L178" i="1"/>
  <c r="L175" i="1"/>
  <c r="L174" i="1"/>
  <c r="L173" i="1"/>
  <c r="L172" i="1"/>
  <c r="L176" i="1"/>
  <c r="L171" i="1"/>
  <c r="L133" i="1" l="1"/>
  <c r="L132" i="1"/>
  <c r="L131" i="1"/>
  <c r="L130" i="1"/>
  <c r="L129" i="1"/>
  <c r="L111" i="1"/>
  <c r="L110" i="1"/>
  <c r="L109" i="1"/>
  <c r="L115" i="1"/>
  <c r="L120" i="1"/>
  <c r="L119" i="1"/>
  <c r="L118" i="1"/>
  <c r="L116" i="1"/>
  <c r="L117" i="1"/>
  <c r="L114" i="1"/>
  <c r="L113" i="1"/>
  <c r="L112" i="1"/>
  <c r="L122" i="1"/>
  <c r="L125" i="1"/>
  <c r="L124" i="1"/>
  <c r="L123" i="1"/>
  <c r="L127" i="1"/>
  <c r="L126" i="1"/>
  <c r="L128" i="1"/>
  <c r="L108" i="1"/>
  <c r="L107" i="1"/>
  <c r="L97" i="1"/>
  <c r="L96" i="1"/>
  <c r="L103" i="1"/>
  <c r="L102" i="1"/>
  <c r="L100" i="1"/>
  <c r="L99" i="1"/>
  <c r="L101" i="1"/>
  <c r="L98" i="1"/>
  <c r="L121" i="1"/>
  <c r="L105" i="1"/>
  <c r="L104" i="1"/>
  <c r="L106" i="1"/>
  <c r="L94" i="1"/>
  <c r="L93" i="1"/>
  <c r="L95" i="1"/>
  <c r="L91" i="1"/>
  <c r="L92" i="1"/>
  <c r="L89" i="1"/>
  <c r="L90" i="1"/>
  <c r="L68" i="1" l="1"/>
  <c r="L67" i="1"/>
  <c r="L83" i="1"/>
  <c r="L82" i="1"/>
  <c r="L88" i="1"/>
  <c r="L87" i="1"/>
  <c r="L86" i="1"/>
  <c r="L85" i="1"/>
  <c r="L84" i="1"/>
  <c r="L81" i="1"/>
  <c r="L80" i="1"/>
  <c r="L79" i="1"/>
  <c r="L78" i="1"/>
  <c r="L77" i="1"/>
  <c r="L75" i="1"/>
  <c r="L76" i="1"/>
  <c r="L70" i="1"/>
  <c r="L69" i="1"/>
  <c r="L72" i="1"/>
  <c r="L71" i="1"/>
  <c r="L73" i="1"/>
  <c r="L74" i="1"/>
  <c r="L58" i="1"/>
  <c r="L57" i="1"/>
  <c r="L56" i="1"/>
  <c r="L55" i="1"/>
  <c r="L66" i="1"/>
  <c r="L65" i="1"/>
  <c r="L64" i="1"/>
  <c r="L62" i="1"/>
  <c r="L63" i="1"/>
  <c r="L61" i="1"/>
  <c r="L60" i="1"/>
  <c r="L59" i="1"/>
  <c r="L50" i="1" l="1"/>
  <c r="L49" i="1"/>
  <c r="L52" i="1"/>
  <c r="L51" i="1"/>
  <c r="L46" i="1"/>
  <c r="L47" i="1"/>
  <c r="L38" i="1"/>
  <c r="L44" i="1"/>
  <c r="L40" i="1"/>
  <c r="L41" i="1"/>
  <c r="L45" i="1"/>
  <c r="L43" i="1"/>
  <c r="L42" i="1"/>
  <c r="L48" i="1"/>
  <c r="L53" i="1"/>
  <c r="L34" i="1"/>
  <c r="L33" i="1"/>
  <c r="L32" i="1"/>
  <c r="L31" i="1"/>
  <c r="L30" i="1"/>
  <c r="L29" i="1"/>
  <c r="L28" i="1"/>
  <c r="L37" i="1"/>
  <c r="L36" i="1"/>
  <c r="L35" i="1"/>
  <c r="L39" i="1"/>
  <c r="L11" i="1" l="1"/>
  <c r="L27" i="1"/>
  <c r="L26" i="1"/>
  <c r="L25" i="1"/>
  <c r="L24" i="1"/>
  <c r="L23" i="1"/>
  <c r="L22" i="1"/>
  <c r="L21" i="1"/>
  <c r="L20" i="1"/>
  <c r="L19" i="1"/>
  <c r="L18" i="1"/>
  <c r="L14" i="1"/>
  <c r="L13" i="1"/>
  <c r="L12" i="1"/>
  <c r="L7" i="1"/>
  <c r="L9" i="1"/>
  <c r="L10" i="1"/>
  <c r="L6" i="1"/>
  <c r="L5" i="1"/>
  <c r="L8" i="1"/>
  <c r="L4" i="1"/>
  <c r="L3" i="1"/>
  <c r="L17" i="1"/>
  <c r="L16" i="1"/>
  <c r="L15" i="1"/>
</calcChain>
</file>

<file path=xl/sharedStrings.xml><?xml version="1.0" encoding="utf-8"?>
<sst xmlns="http://schemas.openxmlformats.org/spreadsheetml/2006/main" count="6589" uniqueCount="117">
  <si>
    <t>Data</t>
  </si>
  <si>
    <t>Reposição/Cobrar</t>
  </si>
  <si>
    <t>Quantidade</t>
  </si>
  <si>
    <t>Transportadora</t>
  </si>
  <si>
    <t>Placa Cavalo</t>
  </si>
  <si>
    <t>Placa Carreta</t>
  </si>
  <si>
    <t>Nome  Motorista</t>
  </si>
  <si>
    <t>Conferente</t>
  </si>
  <si>
    <t>Valor</t>
  </si>
  <si>
    <t xml:space="preserve">Quantidade por palete </t>
  </si>
  <si>
    <t>SAIDA</t>
  </si>
  <si>
    <t>Estoque atual</t>
  </si>
  <si>
    <t>Estoque Minimo</t>
  </si>
  <si>
    <t>Ultima Atualização</t>
  </si>
  <si>
    <t>Cobrar</t>
  </si>
  <si>
    <t>Reposição</t>
  </si>
  <si>
    <t>*</t>
  </si>
  <si>
    <t>Sum of Valor</t>
  </si>
  <si>
    <t>Vendor</t>
  </si>
  <si>
    <t>Código</t>
  </si>
  <si>
    <t>BUTU11</t>
  </si>
  <si>
    <t>COST11</t>
  </si>
  <si>
    <t>POZO11</t>
  </si>
  <si>
    <t>FERR11</t>
  </si>
  <si>
    <t>LOBO11</t>
  </si>
  <si>
    <t>MONT11</t>
  </si>
  <si>
    <t>MORE11</t>
  </si>
  <si>
    <t>SIGM11</t>
  </si>
  <si>
    <t>MART11</t>
  </si>
  <si>
    <t>PRIM11</t>
  </si>
  <si>
    <t>Conferentes</t>
  </si>
  <si>
    <t>Mês</t>
  </si>
  <si>
    <t>Ano</t>
  </si>
  <si>
    <t>JAN</t>
  </si>
  <si>
    <t>Status</t>
  </si>
  <si>
    <t>FEV</t>
  </si>
  <si>
    <t>MAR</t>
  </si>
  <si>
    <t>ABR</t>
  </si>
  <si>
    <t>MAI</t>
  </si>
  <si>
    <t>JUN</t>
  </si>
  <si>
    <t>JUL</t>
  </si>
  <si>
    <t>AGO</t>
  </si>
  <si>
    <t>SET</t>
  </si>
  <si>
    <t>OUT</t>
  </si>
  <si>
    <t>NOV</t>
  </si>
  <si>
    <t>DEZ</t>
  </si>
  <si>
    <t>Sum of Quantidade</t>
  </si>
  <si>
    <t>Count of Conferente</t>
  </si>
  <si>
    <t>Sum of Valor2</t>
  </si>
  <si>
    <t>5265848 </t>
  </si>
  <si>
    <t>STET01</t>
  </si>
  <si>
    <t>TOMB01</t>
  </si>
  <si>
    <t>SJOI01</t>
  </si>
  <si>
    <t>JACT01</t>
  </si>
  <si>
    <t>MMCM01</t>
  </si>
  <si>
    <t>SPOT01</t>
  </si>
  <si>
    <t>PANO01</t>
  </si>
  <si>
    <t>GRVL01</t>
  </si>
  <si>
    <t>JOLI01</t>
  </si>
  <si>
    <t>LETS01</t>
  </si>
  <si>
    <t>TAUB01</t>
  </si>
  <si>
    <t>COVR01</t>
  </si>
  <si>
    <t>MAER01</t>
  </si>
  <si>
    <t>CARG01</t>
  </si>
  <si>
    <t>APOI01</t>
  </si>
  <si>
    <t>Devolução</t>
  </si>
  <si>
    <t>Transparaguay</t>
  </si>
  <si>
    <t>ARIL11</t>
  </si>
  <si>
    <t>Rótulos de Linha</t>
  </si>
  <si>
    <t>Rótulos de Coluna</t>
  </si>
  <si>
    <t>(Tudo)</t>
  </si>
  <si>
    <t>Total Geral</t>
  </si>
  <si>
    <t/>
  </si>
  <si>
    <t>Lívia Monteiro</t>
  </si>
  <si>
    <t>Caio Fernandes</t>
  </si>
  <si>
    <t>Helena Duarte</t>
  </si>
  <si>
    <t>Rafael Mendonça</t>
  </si>
  <si>
    <t>Isabela Vasques</t>
  </si>
  <si>
    <t>Lucas Antunes</t>
  </si>
  <si>
    <t>Carolina Prado</t>
  </si>
  <si>
    <t>Diego Amaral</t>
  </si>
  <si>
    <t>Sofia Ribeiro</t>
  </si>
  <si>
    <t>Gabriel Coutinho</t>
  </si>
  <si>
    <t>Marina Tavares</t>
  </si>
  <si>
    <t>TransVale Logística</t>
  </si>
  <si>
    <t>RotaSul Transportes</t>
  </si>
  <si>
    <t>Cargas Nova Era</t>
  </si>
  <si>
    <t>Veloz Express</t>
  </si>
  <si>
    <t>TransMundial Cargo</t>
  </si>
  <si>
    <t>Alpha Transportes</t>
  </si>
  <si>
    <t>ViaNorte Logística</t>
  </si>
  <si>
    <t>Rápido Oeste</t>
  </si>
  <si>
    <t>LogiBrasil Transportes</t>
  </si>
  <si>
    <t>Expresso Horizonte</t>
  </si>
  <si>
    <t>TransCerto Entregas</t>
  </si>
  <si>
    <t>Atlas Cargo &amp; Logística</t>
  </si>
  <si>
    <t>Ponto Certo Transportes</t>
  </si>
  <si>
    <t>Caminho Forte Log</t>
  </si>
  <si>
    <t>GlobalLine Transportes</t>
  </si>
  <si>
    <t>Via Rápida Express</t>
  </si>
  <si>
    <t>EcoTrans Logística Sustentável</t>
  </si>
  <si>
    <t>Nova Rota Cargas</t>
  </si>
  <si>
    <t>Flecha Dourada Transportes</t>
  </si>
  <si>
    <t>UniCargo Brasil</t>
  </si>
  <si>
    <t>TransLeste Logística Integrada</t>
  </si>
  <si>
    <t>Estrela do Sul Transportes</t>
  </si>
  <si>
    <t>RodoMais Entregas</t>
  </si>
  <si>
    <t>TransPorto Solutions</t>
  </si>
  <si>
    <t>Prime Cargo Express</t>
  </si>
  <si>
    <t>VivaLog Transportes</t>
  </si>
  <si>
    <t>MaxVia Cargas e Distribuição</t>
  </si>
  <si>
    <t>Continental Express</t>
  </si>
  <si>
    <t>RodoNet Logística Inteligente</t>
  </si>
  <si>
    <t>29/02/2023</t>
  </si>
  <si>
    <t>31/06/2024</t>
  </si>
  <si>
    <t>13/092024</t>
  </si>
  <si>
    <t>30/10/2025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</si>
</sst>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R$&quot;\ * #,##0.00_-;\-&quot;R$&quot;\ * #,##0.00_-;_-&quot;R$&quot;\ * &quot;-&quot;??_-;_-@_-"/>
    <numFmt numFmtId="164" formatCode="_(&quot;R$&quot;* #,##0.00_);_(&quot;R$&quot;* \(#,##0.00\);_(&quot;R$&quot;* &quot;-&quot;??_);_(@_)"/>
    <numFmt numFmtId="165" formatCode="&quot;R$&quot;\ #,##0.00"/>
    <numFmt numFmtId="166" formatCode="[$-C09]dd\-mmm\-yy;@"/>
    <numFmt numFmtId="167" formatCode="_-[$R$-416]* #,##0.00_-;\-[$R$-416]* #,##0.00_-;_-[$R$-416]* &quot;-&quot;??_-;_-@_-"/>
    <numFmt numFmtId="168" formatCode="mmm"/>
    <numFmt numFmtId="169" formatCode="m/d/yyyy"/>
  </numFmts>
  <fonts count="12" x14ac:knownFonts="1">
    <font>
      <sz val="11"/>
      <color theme="1"/>
      <name val="Calibri"/>
      <family val="2"/>
      <scheme val="minor"/>
    </font>
    <font>
      <b/>
      <sz val="12"/>
      <color rgb="FFFFFF00"/>
      <name val="Calibri"/>
      <family val="2"/>
      <scheme val="minor"/>
    </font>
    <font>
      <sz val="10"/>
      <name val="Arial"/>
      <family val="2"/>
    </font>
    <font>
      <b/>
      <sz val="11"/>
      <name val="Calibri"/>
      <family val="2"/>
      <scheme val="minor"/>
    </font>
    <font>
      <b/>
      <sz val="11"/>
      <color theme="1"/>
      <name val="Calibri"/>
      <family val="2"/>
      <scheme val="minor"/>
    </font>
    <font>
      <b/>
      <sz val="11"/>
      <color rgb="FFFF0000"/>
      <name val="Calibri"/>
      <family val="2"/>
      <scheme val="minor"/>
    </font>
    <font>
      <b/>
      <sz val="12"/>
      <color rgb="FF0000FF"/>
      <name val="Calibri"/>
      <family val="2"/>
      <scheme val="minor"/>
    </font>
    <font>
      <sz val="11"/>
      <color theme="1"/>
      <name val="Calibri"/>
      <family val="2"/>
      <scheme val="minor"/>
    </font>
    <font>
      <sz val="8"/>
      <name val="Calibri"/>
      <family val="2"/>
      <scheme val="minor"/>
    </font>
    <font>
      <sz val="11"/>
      <name val="Calibri"/>
      <family val="2"/>
      <scheme val="minor"/>
    </font>
    <font>
      <b/>
      <sz val="12"/>
      <color theme="1"/>
      <name val="Calibri"/>
      <family val="2"/>
      <scheme val="minor"/>
    </font>
    <font>
      <sz val="11"/>
      <color theme="1"/>
      <name val="Calibri"/>
      <family val="2"/>
    </font>
  </fonts>
  <fills count="8">
    <fill>
      <patternFill patternType="none"/>
    </fill>
    <fill>
      <patternFill patternType="gray125"/>
    </fill>
    <fill>
      <patternFill patternType="solid">
        <fgColor rgb="FFFFFF00"/>
        <bgColor indexed="64"/>
      </patternFill>
    </fill>
    <fill>
      <patternFill patternType="solid">
        <fgColor rgb="FFFFFF00"/>
        <bgColor theme="1"/>
      </patternFill>
    </fill>
    <fill>
      <patternFill patternType="solid">
        <fgColor rgb="FFFFFFFF"/>
        <bgColor indexed="64"/>
      </patternFill>
    </fill>
    <fill>
      <patternFill patternType="solid">
        <fgColor rgb="FF0070C0"/>
        <bgColor indexed="64"/>
      </patternFill>
    </fill>
    <fill>
      <patternFill patternType="solid">
        <fgColor rgb="FF285AD8"/>
        <bgColor indexed="64"/>
      </patternFill>
    </fill>
    <fill>
      <patternFill patternType="solid">
        <fgColor theme="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theme="4" tint="0.39997558519241921"/>
      </bottom>
      <diagonal/>
    </border>
    <border>
      <left/>
      <right/>
      <top/>
      <bottom style="thin">
        <color indexed="64"/>
      </bottom>
      <diagonal/>
    </border>
    <border>
      <left style="thin">
        <color indexed="64"/>
      </left>
      <right/>
      <top/>
      <bottom/>
      <diagonal/>
    </border>
  </borders>
  <cellStyleXfs count="3">
    <xf numFmtId="0" fontId="0" fillId="0" borderId="0"/>
    <xf numFmtId="166" fontId="2" fillId="0" borderId="0"/>
    <xf numFmtId="164" fontId="7" fillId="0" borderId="0" applyFont="0" applyFill="0" applyBorder="0" applyAlignment="0" applyProtection="0"/>
  </cellStyleXfs>
  <cellXfs count="49">
    <xf numFmtId="0" fontId="0" fillId="0" borderId="0" xfId="0"/>
    <xf numFmtId="0" fontId="1" fillId="0" borderId="0" xfId="0" applyFont="1" applyAlignment="1">
      <alignment horizontal="center" vertical="center"/>
    </xf>
    <xf numFmtId="0" fontId="0" fillId="0" borderId="1" xfId="0" applyBorder="1"/>
    <xf numFmtId="0" fontId="5" fillId="0" borderId="0" xfId="0" applyFont="1" applyAlignment="1">
      <alignment horizontal="center"/>
    </xf>
    <xf numFmtId="0" fontId="3" fillId="3" borderId="1" xfId="0" applyFont="1" applyFill="1" applyBorder="1" applyAlignment="1">
      <alignment horizontal="center" vertical="center" wrapText="1"/>
    </xf>
    <xf numFmtId="0" fontId="3" fillId="2" borderId="1" xfId="0" applyFont="1" applyFill="1" applyBorder="1" applyAlignment="1">
      <alignment horizontal="center" vertical="center"/>
    </xf>
    <xf numFmtId="0" fontId="3" fillId="0" borderId="1" xfId="0" applyFont="1" applyBorder="1" applyAlignment="1">
      <alignment horizontal="center" vertical="center"/>
    </xf>
    <xf numFmtId="0" fontId="0" fillId="0" borderId="1" xfId="0" applyBorder="1" applyAlignment="1">
      <alignment horizontal="center" vertical="center"/>
    </xf>
    <xf numFmtId="0" fontId="6" fillId="2" borderId="1" xfId="0" applyFont="1" applyFill="1" applyBorder="1" applyAlignment="1">
      <alignment horizontal="center" vertical="center"/>
    </xf>
    <xf numFmtId="0" fontId="4" fillId="2" borderId="1" xfId="0" applyFont="1" applyFill="1" applyBorder="1" applyAlignment="1">
      <alignment horizontal="center" vertical="center"/>
    </xf>
    <xf numFmtId="0" fontId="5" fillId="0" borderId="1" xfId="0" applyFont="1" applyBorder="1" applyAlignment="1">
      <alignment horizontal="center" vertical="center"/>
    </xf>
    <xf numFmtId="0" fontId="6" fillId="0" borderId="1" xfId="0" applyFont="1" applyBorder="1" applyAlignment="1">
      <alignment horizontal="center" vertical="center"/>
    </xf>
    <xf numFmtId="4" fontId="0" fillId="0" borderId="0" xfId="0" applyNumberFormat="1"/>
    <xf numFmtId="165" fontId="0" fillId="0" borderId="0" xfId="0" applyNumberFormat="1"/>
    <xf numFmtId="0" fontId="0" fillId="4" borderId="0" xfId="0" applyFill="1"/>
    <xf numFmtId="167" fontId="0" fillId="0" borderId="0" xfId="0" applyNumberFormat="1"/>
    <xf numFmtId="164" fontId="0" fillId="0" borderId="0" xfId="0" applyNumberFormat="1"/>
    <xf numFmtId="14" fontId="9" fillId="0" borderId="0" xfId="0" applyNumberFormat="1" applyFont="1" applyAlignment="1">
      <alignment horizontal="center" vertical="center"/>
    </xf>
    <xf numFmtId="0" fontId="0" fillId="0" borderId="0" xfId="0" applyAlignment="1">
      <alignment horizontal="right" vertical="center"/>
    </xf>
    <xf numFmtId="0" fontId="0" fillId="0" borderId="0" xfId="0" applyAlignment="1">
      <alignment horizontal="left" vertical="center"/>
    </xf>
    <xf numFmtId="16" fontId="4" fillId="0" borderId="1" xfId="0" applyNumberFormat="1" applyFont="1" applyBorder="1" applyAlignment="1">
      <alignment horizontal="center" vertical="center"/>
    </xf>
    <xf numFmtId="164" fontId="0" fillId="0" borderId="0" xfId="2" applyFont="1"/>
    <xf numFmtId="0" fontId="4" fillId="0" borderId="0" xfId="0" applyFont="1" applyAlignment="1">
      <alignment horizontal="center" vertical="center" wrapText="1"/>
    </xf>
    <xf numFmtId="164" fontId="4" fillId="0" borderId="0" xfId="2" applyFont="1" applyFill="1" applyBorder="1" applyAlignment="1">
      <alignment horizontal="center" vertical="center"/>
    </xf>
    <xf numFmtId="168" fontId="0" fillId="0" borderId="0" xfId="0" applyNumberFormat="1"/>
    <xf numFmtId="0" fontId="0" fillId="0" borderId="0" xfId="0" applyAlignment="1">
      <alignment horizontal="center"/>
    </xf>
    <xf numFmtId="0" fontId="0" fillId="0" borderId="0" xfId="0" applyAlignment="1">
      <alignment horizontal="left"/>
    </xf>
    <xf numFmtId="14" fontId="0" fillId="0" borderId="2" xfId="0" applyNumberFormat="1" applyBorder="1" applyAlignment="1">
      <alignment horizontal="center"/>
    </xf>
    <xf numFmtId="0" fontId="0" fillId="0" borderId="2" xfId="0" applyBorder="1" applyAlignment="1">
      <alignment horizontal="center"/>
    </xf>
    <xf numFmtId="164" fontId="0" fillId="0" borderId="2" xfId="2" applyFont="1" applyBorder="1"/>
    <xf numFmtId="0" fontId="10" fillId="5" borderId="1" xfId="0" applyFont="1" applyFill="1" applyBorder="1" applyAlignment="1">
      <alignment horizontal="center" vertical="center"/>
    </xf>
    <xf numFmtId="0" fontId="0" fillId="0" borderId="0" xfId="0" pivotButton="1"/>
    <xf numFmtId="0" fontId="4" fillId="0" borderId="3" xfId="0" applyFont="1" applyBorder="1"/>
    <xf numFmtId="0" fontId="0" fillId="6" borderId="0" xfId="0" applyFill="1"/>
    <xf numFmtId="0" fontId="0" fillId="6" borderId="0" xfId="0" applyFill="1" applyAlignment="1">
      <alignment horizontal="center"/>
    </xf>
    <xf numFmtId="164" fontId="0" fillId="6" borderId="0" xfId="2" applyFont="1" applyFill="1"/>
    <xf numFmtId="0" fontId="0" fillId="6" borderId="4" xfId="0" applyFill="1" applyBorder="1"/>
    <xf numFmtId="0" fontId="0" fillId="7" borderId="0" xfId="0" applyFill="1"/>
    <xf numFmtId="0" fontId="0" fillId="0" borderId="5" xfId="0" applyBorder="1" applyAlignment="1">
      <alignment horizontal="center"/>
    </xf>
    <xf numFmtId="44" fontId="0" fillId="0" borderId="0" xfId="0" applyNumberFormat="1"/>
    <xf numFmtId="44" fontId="0" fillId="0" borderId="2" xfId="2" applyNumberFormat="1" applyFont="1" applyBorder="1"/>
    <xf numFmtId="169" fontId="9" fillId="0" borderId="0" xfId="0" applyNumberFormat="1" applyFont="1" applyAlignment="1">
      <alignment horizontal="left" vertical="center"/>
    </xf>
    <xf numFmtId="0" fontId="11" fillId="0" borderId="0" xfId="0" applyFont="1" applyAlignment="1">
      <alignment horizontal="right" vertical="center"/>
    </xf>
    <xf numFmtId="0" fontId="0" fillId="0" borderId="1" xfId="0" applyBorder="1" applyAlignment="1">
      <alignment horizontal="right" vertical="center"/>
    </xf>
    <xf numFmtId="0" fontId="0" fillId="0" borderId="0" xfId="0" quotePrefix="1"/>
    <xf numFmtId="14" fontId="0" fillId="0" borderId="0" xfId="0" applyNumberFormat="1"/>
    <xf numFmtId="0" fontId="4" fillId="0" borderId="0" xfId="0" applyFont="1"/>
    <xf numFmtId="14" fontId="0" fillId="6" borderId="0" xfId="0" applyNumberFormat="1" applyFill="1"/>
    <xf numFmtId="14" fontId="10" fillId="5" borderId="1" xfId="0" applyNumberFormat="1" applyFont="1" applyFill="1" applyBorder="1" applyAlignment="1">
      <alignment horizontal="center" vertical="center"/>
    </xf>
  </cellXfs>
  <cellStyles count="3">
    <cellStyle name="Moeda" xfId="2" builtinId="4"/>
    <cellStyle name="Normal" xfId="0" builtinId="0"/>
    <cellStyle name="Normal 24" xfId="1" xr:uid="{BE0516D0-91FD-4428-BE09-4C912F36996E}"/>
  </cellStyles>
  <dxfs count="36">
    <dxf>
      <numFmt numFmtId="34" formatCode="_-&quot;R$&quot;\ * #,##0.00_-;\-&quot;R$&quot;\ * #,##0.00_-;_-&quot;R$&quot;\ * &quot;-&quot;??_-;_-@_-"/>
    </dxf>
    <dxf>
      <numFmt numFmtId="164" formatCode="_(&quot;R$&quot;* #,##0.00_);_(&quot;R$&quot;* \(#,##0.00\);_(&quot;R$&quot;* &quot;-&quot;??_);_(@_)"/>
    </dxf>
    <dxf>
      <numFmt numFmtId="0" formatCode="General"/>
    </dxf>
    <dxf>
      <numFmt numFmtId="164" formatCode="_(&quot;R$&quot;* #,##0.00_);_(&quot;R$&quot;* \(#,##0.00\);_(&quot;R$&quot;* &quot;-&quot;??_);_(@_)"/>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numFmt numFmtId="164" formatCode="_(&quot;R$&quot;* #,##0.00_);_(&quot;R$&quot;* \(#,##0.00\);_(&quot;R$&quot;* &quot;-&quot;??_);_(@_)"/>
    </dxf>
    <dxf>
      <numFmt numFmtId="34" formatCode="_-&quot;R$&quot;\ * #,##0.00_-;\-&quot;R$&quot;\ * #,##0.00_-;_-&quot;R$&quot;\ * &quot;-&quot;??_-;_-@_-"/>
    </dxf>
    <dxf>
      <numFmt numFmtId="164" formatCode="_(&quot;R$&quot;* #,##0.00_);_(&quot;R$&quot;* \(#,##0.00\);_(&quot;R$&quot;* &quot;-&quot;??_);_(@_)"/>
    </dxf>
    <dxf>
      <numFmt numFmtId="34" formatCode="_-&quot;R$&quot;\ * #,##0.00_-;\-&quot;R$&quot;\ * #,##0.00_-;_-&quot;R$&quot;\ * &quot;-&quot;??_-;_-@_-"/>
    </dxf>
    <dxf>
      <numFmt numFmtId="164" formatCode="_(&quot;R$&quot;* #,##0.00_);_(&quot;R$&quot;* \(#,##0.00\);_(&quot;R$&quot;* &quot;-&quot;??_);_(@_)"/>
    </dxf>
    <dxf>
      <numFmt numFmtId="0" formatCode="General"/>
    </dxf>
    <dxf>
      <numFmt numFmtId="164" formatCode="_(&quot;R$&quot;* #,##0.00_);_(&quot;R$&quot;* \(#,##0.00\);_(&quot;R$&quot;* &quot;-&quot;??_);_(@_)"/>
    </dxf>
    <dxf>
      <numFmt numFmtId="164" formatCode="_(&quot;R$&quot;* #,##0.00_);_(&quot;R$&quot;* \(#,##0.00\);_(&quot;R$&quot;* &quot;-&quot;??_);_(@_)"/>
    </dxf>
    <dxf>
      <font>
        <b val="0"/>
        <i val="0"/>
        <strike val="0"/>
        <condense val="0"/>
        <extend val="0"/>
        <outline val="0"/>
        <shadow val="0"/>
        <u val="none"/>
        <vertAlign val="baseline"/>
        <sz val="11"/>
        <color auto="1"/>
        <name val="Calibri"/>
        <scheme val="minor"/>
      </font>
      <numFmt numFmtId="169" formatCode="m/d/yyyy"/>
      <fill>
        <patternFill patternType="none">
          <fgColor indexed="64"/>
          <bgColor indexed="65"/>
        </patternFill>
      </fill>
      <alignment horizontal="center" vertical="center" textRotation="0" wrapText="0" relativeIndent="0" justifyLastLine="0" shrinkToFit="0" readingOrder="0"/>
      <border diagonalUp="0" diagonalDown="0" outline="0">
        <left style="hair">
          <color auto="1"/>
        </left>
        <right style="medium">
          <color auto="1"/>
        </right>
        <top style="hair">
          <color auto="1"/>
        </top>
        <bottom style="hair">
          <color auto="1"/>
        </bottom>
      </border>
    </dxf>
    <dxf>
      <fill>
        <patternFill patternType="none">
          <fgColor indexed="64"/>
          <bgColor indexed="65"/>
        </patternFill>
      </fill>
      <alignment horizontal="center" vertical="center" textRotation="0" wrapText="0" relativeIndent="0" justifyLastLine="0" shrinkToFit="0" readingOrder="0"/>
      <border diagonalUp="0" diagonalDown="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medium">
          <color auto="1"/>
        </left>
        <right style="hair">
          <color auto="1"/>
        </right>
        <top style="hair">
          <color auto="1"/>
        </top>
        <bottom style="hair">
          <color auto="1"/>
        </bottom>
      </border>
    </dxf>
    <dxf>
      <font>
        <b/>
        <i val="0"/>
        <strike val="0"/>
        <condense val="0"/>
        <extend val="0"/>
        <outline val="0"/>
        <shadow val="0"/>
        <u val="none"/>
        <vertAlign val="baseline"/>
        <sz val="12"/>
        <color rgb="FFFFFF00"/>
        <name val="Calibri"/>
        <scheme val="minor"/>
      </font>
      <fill>
        <patternFill patternType="none">
          <fgColor indexed="64"/>
          <bgColor indexed="65"/>
        </patternFill>
      </fill>
      <alignment horizontal="center" vertical="center" textRotation="0" wrapText="0" relativeIndent="0" justifyLastLine="0" shrinkToFit="0" readingOrder="0"/>
    </dxf>
    <dxf>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outline="0">
        <left style="thin">
          <color indexed="64"/>
        </left>
        <right/>
        <top/>
        <bottom/>
      </border>
    </dxf>
    <dxf>
      <alignment horizontal="center" textRotation="0" wrapText="0" indent="0" justifyLastLine="0" shrinkToFit="0" readingOrder="0"/>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left style="thin">
          <color indexed="64"/>
        </left>
        <right style="thin">
          <color indexed="64"/>
        </right>
        <top/>
        <bottom/>
        <vertical/>
        <horizontal/>
      </border>
    </dxf>
    <dxf>
      <alignment horizontal="center" textRotation="0" wrapText="0" indent="0" justifyLastLine="0" shrinkToFit="0" readingOrder="0"/>
      <border diagonalUp="0" diagonalDown="0">
        <left style="thin">
          <color indexed="64"/>
        </left>
        <right style="thin">
          <color indexed="64"/>
        </right>
        <top/>
        <bottom/>
        <vertical/>
        <horizontal/>
      </border>
    </dxf>
    <dxf>
      <numFmt numFmtId="19" formatCode="dd/mm/yyyy"/>
      <alignment horizontal="center" vertical="bottom" textRotation="0" wrapText="0" indent="0" justifyLastLine="0" shrinkToFit="0" readingOrder="0"/>
      <border diagonalUp="0" diagonalDown="0">
        <left style="thin">
          <color indexed="64"/>
        </left>
        <right style="thin">
          <color indexed="64"/>
        </right>
        <top/>
        <bottom/>
        <vertical/>
        <horizontal/>
      </border>
    </dxf>
    <dxf>
      <border outline="0">
        <top style="medium">
          <color theme="1"/>
        </top>
      </border>
    </dxf>
    <dxf>
      <border>
        <bottom style="thin">
          <color indexed="64"/>
        </bottom>
      </border>
    </dxf>
    <dxf>
      <font>
        <b/>
        <strike val="0"/>
        <outline val="0"/>
        <shadow val="0"/>
        <u val="none"/>
        <vertAlign val="baseline"/>
        <sz val="12"/>
        <color theme="1"/>
        <name val="Calibri"/>
        <family val="2"/>
        <scheme val="minor"/>
      </font>
      <fill>
        <patternFill patternType="solid">
          <fgColor indexed="64"/>
          <bgColor rgb="FF0070C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i val="0"/>
        <color theme="0"/>
        <name val="Arial"/>
        <family val="2"/>
      </font>
      <fill>
        <patternFill>
          <bgColor rgb="FF319BF3"/>
        </patternFill>
      </fill>
    </dxf>
    <dxf>
      <font>
        <b/>
        <i val="0"/>
        <color theme="0"/>
        <name val="Arial"/>
        <family val="2"/>
      </font>
      <fill>
        <patternFill>
          <bgColor rgb="FF285AD8"/>
        </patternFill>
      </fill>
    </dxf>
  </dxfs>
  <tableStyles count="2" defaultTableStyle="TableStyleMedium2" defaultPivotStyle="PivotStyleLight16">
    <tableStyle name="Slicer Style 1" pivot="0" table="0" count="2" xr9:uid="{2A9A143A-C80C-4B8D-9061-4879ADBE39A7}">
      <tableStyleElement type="wholeTable" dxfId="35"/>
    </tableStyle>
    <tableStyle name="Slicer Style 2" pivot="0" table="0" count="2" xr9:uid="{A3DEEEED-7D4A-411F-80B4-6F16DC33F7A5}">
      <tableStyleElement type="wholeTable" dxfId="34"/>
    </tableStyle>
  </tableStyles>
  <colors>
    <mruColors>
      <color rgb="FF285AD8"/>
      <color rgb="FF09FF78"/>
      <color rgb="FF00D25F"/>
      <color rgb="FF009242"/>
      <color rgb="FF21FF85"/>
      <color rgb="FF00EE6C"/>
      <color rgb="FFFFF7E1"/>
      <color rgb="FFFFFCF3"/>
      <color rgb="FF2F60D9"/>
      <color rgb="FF406DDC"/>
    </mruColors>
  </colors>
  <extLst>
    <ext xmlns:x14="http://schemas.microsoft.com/office/spreadsheetml/2009/9/main" uri="{46F421CA-312F-682f-3DD2-61675219B42D}">
      <x14:dxfs count="2">
        <dxf>
          <font>
            <b/>
            <i val="0"/>
            <color auto="1"/>
            <name val="Arial"/>
            <family val="2"/>
          </font>
          <fill>
            <patternFill>
              <bgColor theme="0"/>
            </patternFill>
          </fill>
        </dxf>
        <dxf>
          <font>
            <b/>
            <i val="0"/>
            <color auto="1"/>
            <name val="Arial"/>
            <family val="2"/>
            <scheme val="none"/>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2021.xlsm]Dados!PivotTable6</c:name>
    <c:fmtId val="3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23BF4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Dados!$G$59</c:f>
              <c:strCache>
                <c:ptCount val="1"/>
                <c:pt idx="0">
                  <c:v>Total</c:v>
                </c:pt>
              </c:strCache>
            </c:strRef>
          </c:tx>
          <c:spPr>
            <a:ln w="28575" cap="rnd">
              <a:solidFill>
                <a:srgbClr val="23BF44"/>
              </a:solidFill>
              <a:round/>
            </a:ln>
            <a:effectLst/>
          </c:spPr>
          <c:marker>
            <c:symbol val="none"/>
          </c:marker>
          <c:cat>
            <c:strRef>
              <c:f>Dados!$F$60:$F$71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Dados!$G$60:$G$71</c:f>
              <c:numCache>
                <c:formatCode>General</c:formatCode>
                <c:ptCount val="12"/>
                <c:pt idx="0">
                  <c:v>640</c:v>
                </c:pt>
                <c:pt idx="1">
                  <c:v>913</c:v>
                </c:pt>
                <c:pt idx="2">
                  <c:v>959</c:v>
                </c:pt>
                <c:pt idx="3">
                  <c:v>705</c:v>
                </c:pt>
                <c:pt idx="4">
                  <c:v>1307</c:v>
                </c:pt>
                <c:pt idx="5">
                  <c:v>1290</c:v>
                </c:pt>
                <c:pt idx="6">
                  <c:v>1062</c:v>
                </c:pt>
                <c:pt idx="7">
                  <c:v>1158</c:v>
                </c:pt>
                <c:pt idx="8">
                  <c:v>1256</c:v>
                </c:pt>
                <c:pt idx="9">
                  <c:v>861</c:v>
                </c:pt>
                <c:pt idx="10">
                  <c:v>395</c:v>
                </c:pt>
                <c:pt idx="11">
                  <c:v>419</c:v>
                </c:pt>
              </c:numCache>
            </c:numRef>
          </c:val>
          <c:smooth val="0"/>
          <c:extLst>
            <c:ext xmlns:c16="http://schemas.microsoft.com/office/drawing/2014/chart" uri="{C3380CC4-5D6E-409C-BE32-E72D297353CC}">
              <c16:uniqueId val="{00000003-843C-4FDF-AD91-594167B79104}"/>
            </c:ext>
          </c:extLst>
        </c:ser>
        <c:dLbls>
          <c:showLegendKey val="0"/>
          <c:showVal val="0"/>
          <c:showCatName val="0"/>
          <c:showSerName val="0"/>
          <c:showPercent val="0"/>
          <c:showBubbleSize val="0"/>
        </c:dLbls>
        <c:smooth val="0"/>
        <c:axId val="1237625680"/>
        <c:axId val="1237626096"/>
      </c:lineChart>
      <c:catAx>
        <c:axId val="1237625680"/>
        <c:scaling>
          <c:orientation val="minMax"/>
        </c:scaling>
        <c:delete val="1"/>
        <c:axPos val="b"/>
        <c:numFmt formatCode="General" sourceLinked="1"/>
        <c:majorTickMark val="none"/>
        <c:minorTickMark val="none"/>
        <c:tickLblPos val="nextTo"/>
        <c:crossAx val="1237626096"/>
        <c:crosses val="autoZero"/>
        <c:auto val="1"/>
        <c:lblAlgn val="ctr"/>
        <c:lblOffset val="100"/>
        <c:noMultiLvlLbl val="0"/>
      </c:catAx>
      <c:valAx>
        <c:axId val="1237626096"/>
        <c:scaling>
          <c:orientation val="minMax"/>
        </c:scaling>
        <c:delete val="1"/>
        <c:axPos val="l"/>
        <c:numFmt formatCode="General" sourceLinked="1"/>
        <c:majorTickMark val="none"/>
        <c:minorTickMark val="none"/>
        <c:tickLblPos val="nextTo"/>
        <c:crossAx val="1237625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2021.xlsm]Dados!PivotTable11</c:name>
    <c:fmtId val="3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numFmt formatCode="_(&quot;R$&quot;* #,##0.00_);_(&quot;R$&quot;* \(#,##0.0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numFmt formatCode="_(&quot;R$&quot;* #,##0.00_);_(&quot;R$&quot;* \(#,##0.0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600"/>
          </a:solidFill>
          <a:ln w="381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ln w="38100" cap="rnd">
            <a:solidFill>
              <a:schemeClr val="bg1"/>
            </a:solidFill>
            <a:round/>
          </a:ln>
          <a:effectLst/>
        </c:spPr>
        <c:marker>
          <c:symbol val="circle"/>
          <c:size val="5"/>
          <c:spPr>
            <a:solidFill>
              <a:schemeClr val="bg1"/>
            </a:solidFill>
            <a:ln w="38100">
              <a:solidFill>
                <a:schemeClr val="bg1"/>
              </a:solidFill>
            </a:ln>
            <a:effectLst/>
          </c:spPr>
        </c:marker>
        <c:dLbl>
          <c:idx val="0"/>
          <c:numFmt formatCode="_(&quot;R$&quot;* #,##0.00_);_(&quot;R$&quot;* \(#,##0.00\);_(&quot;R$&quot;* &quot;-&quot;??_);_(@_)" sourceLinked="0"/>
          <c:spPr>
            <a:solidFill>
              <a:schemeClr val="bg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35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Dados!$M$57</c:f>
              <c:strCache>
                <c:ptCount val="1"/>
                <c:pt idx="0">
                  <c:v>Sum of Valor</c:v>
                </c:pt>
              </c:strCache>
            </c:strRef>
          </c:tx>
          <c:spPr>
            <a:solidFill>
              <a:srgbClr val="FF6600"/>
            </a:solidFill>
            <a:ln w="38100">
              <a:noFill/>
            </a:ln>
            <a:effectLst/>
          </c:spPr>
          <c:cat>
            <c:strRef>
              <c:f>Dados!$L$58:$L$69</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Dados!$M$58:$M$69</c:f>
              <c:numCache>
                <c:formatCode>_("R$"* #,##0.00_);_("R$"* \(#,##0.00\);_("R$"* "-"??_);_(@_)</c:formatCode>
                <c:ptCount val="12"/>
                <c:pt idx="0">
                  <c:v>5719.04</c:v>
                </c:pt>
                <c:pt idx="1">
                  <c:v>8158.8099999999968</c:v>
                </c:pt>
                <c:pt idx="2">
                  <c:v>10081.529999999997</c:v>
                </c:pt>
                <c:pt idx="3">
                  <c:v>7238.4299999999994</c:v>
                </c:pt>
                <c:pt idx="4">
                  <c:v>14690.160000000005</c:v>
                </c:pt>
                <c:pt idx="5">
                  <c:v>14859.990000000007</c:v>
                </c:pt>
                <c:pt idx="6">
                  <c:v>12825.630000000005</c:v>
                </c:pt>
                <c:pt idx="7">
                  <c:v>13307.130000000001</c:v>
                </c:pt>
                <c:pt idx="8">
                  <c:v>15633.720000000007</c:v>
                </c:pt>
                <c:pt idx="9">
                  <c:v>9729.7199999999993</c:v>
                </c:pt>
                <c:pt idx="10">
                  <c:v>3590.5499999999997</c:v>
                </c:pt>
                <c:pt idx="11">
                  <c:v>3808.71</c:v>
                </c:pt>
              </c:numCache>
            </c:numRef>
          </c:val>
          <c:extLst>
            <c:ext xmlns:c16="http://schemas.microsoft.com/office/drawing/2014/chart" uri="{C3380CC4-5D6E-409C-BE32-E72D297353CC}">
              <c16:uniqueId val="{00000000-C216-49DC-99C4-2B977D2E86E8}"/>
            </c:ext>
          </c:extLst>
        </c:ser>
        <c:dLbls>
          <c:showLegendKey val="0"/>
          <c:showVal val="0"/>
          <c:showCatName val="0"/>
          <c:showSerName val="0"/>
          <c:showPercent val="0"/>
          <c:showBubbleSize val="0"/>
        </c:dLbls>
        <c:axId val="1932774767"/>
        <c:axId val="1932769775"/>
      </c:areaChart>
      <c:lineChart>
        <c:grouping val="stacked"/>
        <c:varyColors val="0"/>
        <c:ser>
          <c:idx val="1"/>
          <c:order val="1"/>
          <c:tx>
            <c:strRef>
              <c:f>Dados!$N$57</c:f>
              <c:strCache>
                <c:ptCount val="1"/>
                <c:pt idx="0">
                  <c:v>Sum of Valor2</c:v>
                </c:pt>
              </c:strCache>
            </c:strRef>
          </c:tx>
          <c:spPr>
            <a:ln w="38100" cap="rnd">
              <a:solidFill>
                <a:schemeClr val="bg1"/>
              </a:solidFill>
              <a:round/>
            </a:ln>
            <a:effectLst/>
          </c:spPr>
          <c:marker>
            <c:symbol val="circle"/>
            <c:size val="5"/>
            <c:spPr>
              <a:solidFill>
                <a:schemeClr val="bg1"/>
              </a:solidFill>
              <a:ln w="38100">
                <a:solidFill>
                  <a:schemeClr val="bg1"/>
                </a:solidFill>
              </a:ln>
              <a:effectLst/>
            </c:spPr>
          </c:marker>
          <c:dLbls>
            <c:numFmt formatCode="_(&quot;R$&quot;* #,##0.00_);_(&quot;R$&quot;* \(#,##0.00\);_(&quot;R$&quot;* &quot;-&quot;??_);_(@_)" sourceLinked="0"/>
            <c:spPr>
              <a:solidFill>
                <a:schemeClr val="bg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35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Dados!$L$58:$L$69</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Dados!$N$58:$N$69</c:f>
              <c:numCache>
                <c:formatCode>_("R$"* #,##0.00_);_("R$"* \(#,##0.00\);_("R$"* "-"??_);_(@_)</c:formatCode>
                <c:ptCount val="12"/>
                <c:pt idx="0">
                  <c:v>5719.04</c:v>
                </c:pt>
                <c:pt idx="1">
                  <c:v>8158.8099999999968</c:v>
                </c:pt>
                <c:pt idx="2">
                  <c:v>10081.529999999997</c:v>
                </c:pt>
                <c:pt idx="3">
                  <c:v>7238.4299999999994</c:v>
                </c:pt>
                <c:pt idx="4">
                  <c:v>14690.160000000005</c:v>
                </c:pt>
                <c:pt idx="5">
                  <c:v>14859.990000000007</c:v>
                </c:pt>
                <c:pt idx="6">
                  <c:v>12825.630000000005</c:v>
                </c:pt>
                <c:pt idx="7">
                  <c:v>13307.130000000001</c:v>
                </c:pt>
                <c:pt idx="8">
                  <c:v>15633.720000000007</c:v>
                </c:pt>
                <c:pt idx="9">
                  <c:v>9729.7199999999993</c:v>
                </c:pt>
                <c:pt idx="10">
                  <c:v>3590.5499999999997</c:v>
                </c:pt>
                <c:pt idx="11">
                  <c:v>3808.71</c:v>
                </c:pt>
              </c:numCache>
            </c:numRef>
          </c:val>
          <c:smooth val="0"/>
          <c:extLst>
            <c:ext xmlns:c16="http://schemas.microsoft.com/office/drawing/2014/chart" uri="{C3380CC4-5D6E-409C-BE32-E72D297353CC}">
              <c16:uniqueId val="{00000001-C216-49DC-99C4-2B977D2E86E8}"/>
            </c:ext>
          </c:extLst>
        </c:ser>
        <c:dLbls>
          <c:showLegendKey val="0"/>
          <c:showVal val="0"/>
          <c:showCatName val="0"/>
          <c:showSerName val="0"/>
          <c:showPercent val="0"/>
          <c:showBubbleSize val="0"/>
        </c:dLbls>
        <c:marker val="1"/>
        <c:smooth val="0"/>
        <c:axId val="1932774767"/>
        <c:axId val="1932769775"/>
      </c:lineChart>
      <c:catAx>
        <c:axId val="19327747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crossAx val="1932769775"/>
        <c:crosses val="autoZero"/>
        <c:auto val="1"/>
        <c:lblAlgn val="ctr"/>
        <c:lblOffset val="100"/>
        <c:noMultiLvlLbl val="0"/>
      </c:catAx>
      <c:valAx>
        <c:axId val="1932769775"/>
        <c:scaling>
          <c:orientation val="minMax"/>
        </c:scaling>
        <c:delete val="1"/>
        <c:axPos val="l"/>
        <c:numFmt formatCode="_(&quot;R$&quot;* #,##0.00_);_(&quot;R$&quot;* \(#,##0.00\);_(&quot;R$&quot;* &quot;-&quot;??_);_(@_)" sourceLinked="1"/>
        <c:majorTickMark val="none"/>
        <c:minorTickMark val="none"/>
        <c:tickLblPos val="nextTo"/>
        <c:crossAx val="1932774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6600"/>
          </a:solidFill>
          <a:ln>
            <a:noFill/>
          </a:ln>
          <a:effectLst/>
        </c:spPr>
        <c:marker>
          <c:symbol val="none"/>
        </c:marker>
        <c:dLbl>
          <c:idx val="0"/>
          <c:numFmt formatCode="_(&quot;R$&quot;* #,##0.00_);_(&quot;R$&quot;* \(#,##0.00\);_(&quot;R$&quot;* &quot;-&quot;??_);_(@_)"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Dados!$H$30</c:f>
              <c:strCache>
                <c:ptCount val="1"/>
                <c:pt idx="0">
                  <c:v>Total</c:v>
                </c:pt>
              </c:strCache>
            </c:strRef>
          </c:tx>
          <c:spPr>
            <a:solidFill>
              <a:srgbClr val="FF6600"/>
            </a:solidFill>
            <a:ln>
              <a:noFill/>
            </a:ln>
            <a:effectLst/>
          </c:spPr>
          <c:invertIfNegative val="0"/>
          <c:dLbls>
            <c:numFmt formatCode="_(&quot;R$&quot;* #,##0.00_);_(&quot;R$&quot;* \(#,##0.00\);_(&quot;R$&quot;* &quot;-&quot;??_);_(@_)"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Dados!$G$31:$G$38</c:f>
              <c:strCache>
                <c:ptCount val="8"/>
                <c:pt idx="0">
                  <c:v>LogiBrasil Transportes</c:v>
                </c:pt>
                <c:pt idx="1">
                  <c:v>UniCargo Brasil</c:v>
                </c:pt>
                <c:pt idx="2">
                  <c:v>MaxVia Cargas e Distribuição</c:v>
                </c:pt>
                <c:pt idx="3">
                  <c:v>TransCerto Entregas</c:v>
                </c:pt>
                <c:pt idx="4">
                  <c:v>Prime Cargo Express</c:v>
                </c:pt>
                <c:pt idx="5">
                  <c:v>Continental Express</c:v>
                </c:pt>
                <c:pt idx="6">
                  <c:v>Nova Rota Cargas</c:v>
                </c:pt>
                <c:pt idx="7">
                  <c:v>Expresso Horizonte</c:v>
                </c:pt>
              </c:strCache>
            </c:strRef>
          </c:cat>
          <c:val>
            <c:numRef>
              <c:f>Dados!$H$31:$H$38</c:f>
              <c:numCache>
                <c:formatCode>_("R$"* #,##0.00_);_("R$"* \(#,##0.00\);_("R$"* "-"??_);_(@_)</c:formatCode>
                <c:ptCount val="8"/>
                <c:pt idx="0">
                  <c:v>4213.4399999999996</c:v>
                </c:pt>
                <c:pt idx="1">
                  <c:v>4740.1200000000008</c:v>
                </c:pt>
                <c:pt idx="2">
                  <c:v>6541.9199999999992</c:v>
                </c:pt>
                <c:pt idx="3">
                  <c:v>7431.699999999998</c:v>
                </c:pt>
                <c:pt idx="4">
                  <c:v>9048.0700000000015</c:v>
                </c:pt>
                <c:pt idx="5">
                  <c:v>11560.780000000004</c:v>
                </c:pt>
                <c:pt idx="6">
                  <c:v>11933.460000000001</c:v>
                </c:pt>
                <c:pt idx="7">
                  <c:v>38954.490000000071</c:v>
                </c:pt>
              </c:numCache>
            </c:numRef>
          </c:val>
          <c:extLst>
            <c:ext xmlns:c16="http://schemas.microsoft.com/office/drawing/2014/chart" uri="{C3380CC4-5D6E-409C-BE32-E72D297353CC}">
              <c16:uniqueId val="{00000002-C7AA-4A7E-B703-BB60BB79F4D5}"/>
            </c:ext>
          </c:extLst>
        </c:ser>
        <c:dLbls>
          <c:dLblPos val="outEnd"/>
          <c:showLegendKey val="0"/>
          <c:showVal val="1"/>
          <c:showCatName val="0"/>
          <c:showSerName val="0"/>
          <c:showPercent val="0"/>
          <c:showBubbleSize val="0"/>
        </c:dLbls>
        <c:gapWidth val="182"/>
        <c:axId val="2103779455"/>
        <c:axId val="2103781951"/>
      </c:barChart>
      <c:catAx>
        <c:axId val="21037794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crossAx val="2103781951"/>
        <c:crosses val="autoZero"/>
        <c:auto val="1"/>
        <c:lblAlgn val="ctr"/>
        <c:lblOffset val="100"/>
        <c:noMultiLvlLbl val="0"/>
      </c:catAx>
      <c:valAx>
        <c:axId val="2103781951"/>
        <c:scaling>
          <c:orientation val="minMax"/>
        </c:scaling>
        <c:delete val="1"/>
        <c:axPos val="b"/>
        <c:numFmt formatCode="_(&quot;R$&quot;* #,##0.00_);_(&quot;R$&quot;* \(#,##0.00\);_(&quot;R$&quot;* &quot;-&quot;??_);_(@_)" sourceLinked="1"/>
        <c:majorTickMark val="none"/>
        <c:minorTickMark val="none"/>
        <c:tickLblPos val="nextTo"/>
        <c:crossAx val="2103779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2021.xlsm]Dados!PivotTable14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AD7E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Dados!$Z$4</c:f>
              <c:strCache>
                <c:ptCount val="1"/>
                <c:pt idx="0">
                  <c:v>Total</c:v>
                </c:pt>
              </c:strCache>
            </c:strRef>
          </c:tx>
          <c:spPr>
            <a:solidFill>
              <a:srgbClr val="4AD7E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Dados!$Y$5:$Y$10</c:f>
              <c:strCache>
                <c:ptCount val="5"/>
                <c:pt idx="0">
                  <c:v>Lucas Antunes</c:v>
                </c:pt>
                <c:pt idx="1">
                  <c:v>Helena Duarte</c:v>
                </c:pt>
                <c:pt idx="2">
                  <c:v>Rafael Mendonça</c:v>
                </c:pt>
                <c:pt idx="3">
                  <c:v>Carolina Prado</c:v>
                </c:pt>
                <c:pt idx="4">
                  <c:v>Marina Tavares</c:v>
                </c:pt>
              </c:strCache>
            </c:strRef>
          </c:cat>
          <c:val>
            <c:numRef>
              <c:f>Dados!$Z$5:$Z$10</c:f>
              <c:numCache>
                <c:formatCode>General</c:formatCode>
                <c:ptCount val="5"/>
                <c:pt idx="0">
                  <c:v>185</c:v>
                </c:pt>
                <c:pt idx="1">
                  <c:v>178</c:v>
                </c:pt>
                <c:pt idx="2">
                  <c:v>170</c:v>
                </c:pt>
                <c:pt idx="3">
                  <c:v>143</c:v>
                </c:pt>
                <c:pt idx="4">
                  <c:v>92</c:v>
                </c:pt>
              </c:numCache>
            </c:numRef>
          </c:val>
          <c:extLst>
            <c:ext xmlns:c16="http://schemas.microsoft.com/office/drawing/2014/chart" uri="{C3380CC4-5D6E-409C-BE32-E72D297353CC}">
              <c16:uniqueId val="{00000000-C993-4F5C-9184-1006F6936C64}"/>
            </c:ext>
          </c:extLst>
        </c:ser>
        <c:dLbls>
          <c:dLblPos val="outEnd"/>
          <c:showLegendKey val="0"/>
          <c:showVal val="1"/>
          <c:showCatName val="0"/>
          <c:showSerName val="0"/>
          <c:showPercent val="0"/>
          <c:showBubbleSize val="0"/>
        </c:dLbls>
        <c:gapWidth val="219"/>
        <c:overlap val="-27"/>
        <c:axId val="1215471487"/>
        <c:axId val="1215477727"/>
      </c:barChart>
      <c:catAx>
        <c:axId val="12154714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crossAx val="1215477727"/>
        <c:crosses val="autoZero"/>
        <c:auto val="1"/>
        <c:lblAlgn val="ctr"/>
        <c:lblOffset val="100"/>
        <c:noMultiLvlLbl val="0"/>
      </c:catAx>
      <c:valAx>
        <c:axId val="1215477727"/>
        <c:scaling>
          <c:orientation val="minMax"/>
        </c:scaling>
        <c:delete val="1"/>
        <c:axPos val="l"/>
        <c:numFmt formatCode="General" sourceLinked="1"/>
        <c:majorTickMark val="out"/>
        <c:minorTickMark val="none"/>
        <c:tickLblPos val="nextTo"/>
        <c:crossAx val="1215471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2021.xlsm]Dados!PivotTable12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3BF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740071035202309"/>
          <c:y val="4.4196427017842134E-2"/>
          <c:w val="0.64259928964797686"/>
          <c:h val="0.91160714596431569"/>
        </c:manualLayout>
      </c:layout>
      <c:barChart>
        <c:barDir val="bar"/>
        <c:grouping val="clustered"/>
        <c:varyColors val="0"/>
        <c:ser>
          <c:idx val="0"/>
          <c:order val="0"/>
          <c:tx>
            <c:strRef>
              <c:f>Dados!$B$27</c:f>
              <c:strCache>
                <c:ptCount val="1"/>
                <c:pt idx="0">
                  <c:v>Total</c:v>
                </c:pt>
              </c:strCache>
            </c:strRef>
          </c:tx>
          <c:spPr>
            <a:solidFill>
              <a:srgbClr val="23BF4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Dados!$A$28:$A$35</c:f>
              <c:strCache>
                <c:ptCount val="8"/>
                <c:pt idx="0">
                  <c:v>Via Rápida Express</c:v>
                </c:pt>
                <c:pt idx="1">
                  <c:v>Caminho Forte Log</c:v>
                </c:pt>
                <c:pt idx="2">
                  <c:v>MaxVia Cargas e Distribuição</c:v>
                </c:pt>
                <c:pt idx="3">
                  <c:v>TransCerto Entregas</c:v>
                </c:pt>
                <c:pt idx="4">
                  <c:v>Prime Cargo Express</c:v>
                </c:pt>
                <c:pt idx="5">
                  <c:v>Nova Rota Cargas</c:v>
                </c:pt>
                <c:pt idx="6">
                  <c:v>Continental Express</c:v>
                </c:pt>
                <c:pt idx="7">
                  <c:v>Expresso Horizonte</c:v>
                </c:pt>
              </c:strCache>
            </c:strRef>
          </c:cat>
          <c:val>
            <c:numRef>
              <c:f>Dados!$B$28:$B$35</c:f>
              <c:numCache>
                <c:formatCode>General</c:formatCode>
                <c:ptCount val="8"/>
                <c:pt idx="0">
                  <c:v>408</c:v>
                </c:pt>
                <c:pt idx="1">
                  <c:v>410</c:v>
                </c:pt>
                <c:pt idx="2">
                  <c:v>472</c:v>
                </c:pt>
                <c:pt idx="3">
                  <c:v>731</c:v>
                </c:pt>
                <c:pt idx="4">
                  <c:v>808</c:v>
                </c:pt>
                <c:pt idx="5">
                  <c:v>861</c:v>
                </c:pt>
                <c:pt idx="6">
                  <c:v>1109</c:v>
                </c:pt>
                <c:pt idx="7">
                  <c:v>4043</c:v>
                </c:pt>
              </c:numCache>
            </c:numRef>
          </c:val>
          <c:extLst>
            <c:ext xmlns:c16="http://schemas.microsoft.com/office/drawing/2014/chart" uri="{C3380CC4-5D6E-409C-BE32-E72D297353CC}">
              <c16:uniqueId val="{00000002-9DB0-4F3E-A88F-C590D93DC655}"/>
            </c:ext>
          </c:extLst>
        </c:ser>
        <c:dLbls>
          <c:dLblPos val="outEnd"/>
          <c:showLegendKey val="0"/>
          <c:showVal val="1"/>
          <c:showCatName val="0"/>
          <c:showSerName val="0"/>
          <c:showPercent val="0"/>
          <c:showBubbleSize val="0"/>
        </c:dLbls>
        <c:gapWidth val="80"/>
        <c:overlap val="100"/>
        <c:axId val="1932792735"/>
        <c:axId val="1932786079"/>
      </c:barChart>
      <c:catAx>
        <c:axId val="19327927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bg1"/>
                </a:solidFill>
                <a:latin typeface="Arial" panose="020B0604020202020204" pitchFamily="34" charset="0"/>
                <a:ea typeface="+mn-ea"/>
                <a:cs typeface="Arial" panose="020B0604020202020204" pitchFamily="34" charset="0"/>
              </a:defRPr>
            </a:pPr>
            <a:endParaRPr lang="pt-BR"/>
          </a:p>
        </c:txPr>
        <c:crossAx val="1932786079"/>
        <c:crosses val="autoZero"/>
        <c:auto val="1"/>
        <c:lblAlgn val="ctr"/>
        <c:lblOffset val="100"/>
        <c:noMultiLvlLbl val="0"/>
      </c:catAx>
      <c:valAx>
        <c:axId val="1932786079"/>
        <c:scaling>
          <c:orientation val="minMax"/>
        </c:scaling>
        <c:delete val="1"/>
        <c:axPos val="b"/>
        <c:numFmt formatCode="General" sourceLinked="1"/>
        <c:majorTickMark val="none"/>
        <c:minorTickMark val="none"/>
        <c:tickLblPos val="nextTo"/>
        <c:crossAx val="19327927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2021.xlsm]Dados!PivotTable2</c:name>
    <c:fmtId val="2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AD7E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Dados!$O$90:$O$91</c:f>
              <c:strCache>
                <c:ptCount val="1"/>
                <c:pt idx="0">
                  <c:v>Reposição</c:v>
                </c:pt>
              </c:strCache>
            </c:strRef>
          </c:tx>
          <c:spPr>
            <a:ln w="28575" cap="rnd">
              <a:solidFill>
                <a:srgbClr val="4AD7E6"/>
              </a:solidFill>
              <a:round/>
            </a:ln>
            <a:effectLst/>
          </c:spPr>
          <c:marker>
            <c:symbol val="none"/>
          </c:marker>
          <c:cat>
            <c:strRef>
              <c:f>Dados!$N$92:$N$103</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Dados!$O$92:$O$103</c:f>
              <c:numCache>
                <c:formatCode>_("R$"* #,##0.00_);_("R$"* \(#,##0.00\);_("R$"* "-"??_);_(@_)</c:formatCode>
                <c:ptCount val="12"/>
                <c:pt idx="0">
                  <c:v>1332.9999999999998</c:v>
                </c:pt>
                <c:pt idx="1">
                  <c:v>849.47000000000014</c:v>
                </c:pt>
                <c:pt idx="2">
                  <c:v>2317.5899999999997</c:v>
                </c:pt>
                <c:pt idx="3">
                  <c:v>2589.4799999999996</c:v>
                </c:pt>
                <c:pt idx="4">
                  <c:v>7226.2799999999988</c:v>
                </c:pt>
                <c:pt idx="5">
                  <c:v>8856.1800000000039</c:v>
                </c:pt>
                <c:pt idx="6">
                  <c:v>9494.9100000000089</c:v>
                </c:pt>
                <c:pt idx="7">
                  <c:v>7151.9400000000041</c:v>
                </c:pt>
                <c:pt idx="8">
                  <c:v>8944.5600000000068</c:v>
                </c:pt>
                <c:pt idx="9">
                  <c:v>2963.8799999999997</c:v>
                </c:pt>
                <c:pt idx="10">
                  <c:v>1045.3499999999999</c:v>
                </c:pt>
                <c:pt idx="11">
                  <c:v>1963.4399999999994</c:v>
                </c:pt>
              </c:numCache>
            </c:numRef>
          </c:val>
          <c:smooth val="0"/>
          <c:extLst>
            <c:ext xmlns:c16="http://schemas.microsoft.com/office/drawing/2014/chart" uri="{C3380CC4-5D6E-409C-BE32-E72D297353CC}">
              <c16:uniqueId val="{00000002-8D72-4199-8807-8A647209E787}"/>
            </c:ext>
          </c:extLst>
        </c:ser>
        <c:dLbls>
          <c:showLegendKey val="0"/>
          <c:showVal val="0"/>
          <c:showCatName val="0"/>
          <c:showSerName val="0"/>
          <c:showPercent val="0"/>
          <c:showBubbleSize val="0"/>
        </c:dLbls>
        <c:smooth val="0"/>
        <c:axId val="4755663"/>
        <c:axId val="4753999"/>
      </c:lineChart>
      <c:catAx>
        <c:axId val="4755663"/>
        <c:scaling>
          <c:orientation val="minMax"/>
        </c:scaling>
        <c:delete val="1"/>
        <c:axPos val="b"/>
        <c:numFmt formatCode="General" sourceLinked="1"/>
        <c:majorTickMark val="out"/>
        <c:minorTickMark val="none"/>
        <c:tickLblPos val="nextTo"/>
        <c:crossAx val="4753999"/>
        <c:crosses val="autoZero"/>
        <c:auto val="1"/>
        <c:lblAlgn val="ctr"/>
        <c:lblOffset val="100"/>
        <c:noMultiLvlLbl val="0"/>
      </c:catAx>
      <c:valAx>
        <c:axId val="4753999"/>
        <c:scaling>
          <c:orientation val="minMax"/>
        </c:scaling>
        <c:delete val="1"/>
        <c:axPos val="l"/>
        <c:numFmt formatCode="_(&quot;R$&quot;* #,##0.00_);_(&quot;R$&quot;* \(#,##0.00\);_(&quot;R$&quot;* &quot;-&quot;??_);_(@_)" sourceLinked="1"/>
        <c:majorTickMark val="out"/>
        <c:minorTickMark val="none"/>
        <c:tickLblPos val="nextTo"/>
        <c:crossAx val="47556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2021.xlsm]Dados!PivotTable1</c:name>
    <c:fmtId val="2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Dados!$B$57:$B$58</c:f>
              <c:strCache>
                <c:ptCount val="1"/>
                <c:pt idx="0">
                  <c:v>Cobrar</c:v>
                </c:pt>
              </c:strCache>
            </c:strRef>
          </c:tx>
          <c:spPr>
            <a:ln w="28575" cap="rnd">
              <a:solidFill>
                <a:srgbClr val="7030A0"/>
              </a:solidFill>
              <a:round/>
            </a:ln>
            <a:effectLst/>
          </c:spPr>
          <c:marker>
            <c:symbol val="none"/>
          </c:marker>
          <c:cat>
            <c:strRef>
              <c:f>Dados!$A$59:$A$70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Dados!$B$59:$B$70</c:f>
              <c:numCache>
                <c:formatCode>_("R$"* #,##0.00_);_("R$"* \(#,##0.00\);_("R$"* "-"??_);_(@_)</c:formatCode>
                <c:ptCount val="12"/>
                <c:pt idx="0">
                  <c:v>4386.0400000000009</c:v>
                </c:pt>
                <c:pt idx="1">
                  <c:v>7309.340000000002</c:v>
                </c:pt>
                <c:pt idx="2">
                  <c:v>7763.9400000000005</c:v>
                </c:pt>
                <c:pt idx="3">
                  <c:v>4648.95</c:v>
                </c:pt>
                <c:pt idx="4">
                  <c:v>7463.8800000000037</c:v>
                </c:pt>
                <c:pt idx="5">
                  <c:v>6003.8100000000013</c:v>
                </c:pt>
                <c:pt idx="6">
                  <c:v>3330.72</c:v>
                </c:pt>
                <c:pt idx="7">
                  <c:v>6155.1900000000005</c:v>
                </c:pt>
                <c:pt idx="8">
                  <c:v>7354.4400000000014</c:v>
                </c:pt>
                <c:pt idx="9">
                  <c:v>6599.5200000000013</c:v>
                </c:pt>
                <c:pt idx="10">
                  <c:v>2545.1999999999998</c:v>
                </c:pt>
                <c:pt idx="11">
                  <c:v>1845.2699999999995</c:v>
                </c:pt>
              </c:numCache>
            </c:numRef>
          </c:val>
          <c:smooth val="0"/>
          <c:extLst>
            <c:ext xmlns:c16="http://schemas.microsoft.com/office/drawing/2014/chart" uri="{C3380CC4-5D6E-409C-BE32-E72D297353CC}">
              <c16:uniqueId val="{00000002-53BE-4F1F-B2E5-7B05710824C2}"/>
            </c:ext>
          </c:extLst>
        </c:ser>
        <c:dLbls>
          <c:showLegendKey val="0"/>
          <c:showVal val="0"/>
          <c:showCatName val="0"/>
          <c:showSerName val="0"/>
          <c:showPercent val="0"/>
          <c:showBubbleSize val="0"/>
        </c:dLbls>
        <c:smooth val="0"/>
        <c:axId val="3642223"/>
        <c:axId val="3645135"/>
      </c:lineChart>
      <c:catAx>
        <c:axId val="3642223"/>
        <c:scaling>
          <c:orientation val="minMax"/>
        </c:scaling>
        <c:delete val="1"/>
        <c:axPos val="b"/>
        <c:numFmt formatCode="General" sourceLinked="1"/>
        <c:majorTickMark val="none"/>
        <c:minorTickMark val="none"/>
        <c:tickLblPos val="nextTo"/>
        <c:crossAx val="3645135"/>
        <c:crosses val="autoZero"/>
        <c:auto val="1"/>
        <c:lblAlgn val="ctr"/>
        <c:lblOffset val="100"/>
        <c:noMultiLvlLbl val="0"/>
      </c:catAx>
      <c:valAx>
        <c:axId val="3645135"/>
        <c:scaling>
          <c:orientation val="minMax"/>
        </c:scaling>
        <c:delete val="1"/>
        <c:axPos val="l"/>
        <c:numFmt formatCode="_(&quot;R$&quot;* #,##0.00_);_(&quot;R$&quot;* \(#,##0.00\);_(&quot;R$&quot;* &quot;-&quot;??_);_(@_)" sourceLinked="1"/>
        <c:majorTickMark val="none"/>
        <c:minorTickMark val="none"/>
        <c:tickLblPos val="nextTo"/>
        <c:crossAx val="3642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Cantoneiras 2021.xlsm]Dados!PivotTable15</c:name>
    <c:fmtId val="4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66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Dados!$G$107</c:f>
              <c:strCache>
                <c:ptCount val="1"/>
                <c:pt idx="0">
                  <c:v>Total</c:v>
                </c:pt>
              </c:strCache>
            </c:strRef>
          </c:tx>
          <c:spPr>
            <a:ln w="28575" cap="rnd">
              <a:solidFill>
                <a:srgbClr val="FF6600"/>
              </a:solidFill>
              <a:round/>
            </a:ln>
            <a:effectLst/>
          </c:spPr>
          <c:marker>
            <c:symbol val="none"/>
          </c:marker>
          <c:cat>
            <c:strRef>
              <c:f>Dados!$F$108:$F$119</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Dados!$G$108:$G$119</c:f>
              <c:numCache>
                <c:formatCode>_("R$"* #,##0.00_);_("R$"* \(#,##0.00\);_("R$"* "-"??_);_(@_)</c:formatCode>
                <c:ptCount val="12"/>
                <c:pt idx="0">
                  <c:v>5719.04</c:v>
                </c:pt>
                <c:pt idx="1">
                  <c:v>8158.8099999999968</c:v>
                </c:pt>
                <c:pt idx="2">
                  <c:v>10081.529999999997</c:v>
                </c:pt>
                <c:pt idx="3">
                  <c:v>7238.4299999999994</c:v>
                </c:pt>
                <c:pt idx="4">
                  <c:v>14690.160000000005</c:v>
                </c:pt>
                <c:pt idx="5">
                  <c:v>14859.990000000007</c:v>
                </c:pt>
                <c:pt idx="6">
                  <c:v>12825.630000000005</c:v>
                </c:pt>
                <c:pt idx="7">
                  <c:v>13307.130000000001</c:v>
                </c:pt>
                <c:pt idx="8">
                  <c:v>15633.720000000007</c:v>
                </c:pt>
                <c:pt idx="9">
                  <c:v>9729.7199999999993</c:v>
                </c:pt>
                <c:pt idx="10">
                  <c:v>3590.5499999999997</c:v>
                </c:pt>
                <c:pt idx="11">
                  <c:v>3808.71</c:v>
                </c:pt>
              </c:numCache>
            </c:numRef>
          </c:val>
          <c:smooth val="0"/>
          <c:extLst>
            <c:ext xmlns:c16="http://schemas.microsoft.com/office/drawing/2014/chart" uri="{C3380CC4-5D6E-409C-BE32-E72D297353CC}">
              <c16:uniqueId val="{00000003-8B63-40B6-A994-1BDE09DBFEEF}"/>
            </c:ext>
          </c:extLst>
        </c:ser>
        <c:dLbls>
          <c:showLegendKey val="0"/>
          <c:showVal val="0"/>
          <c:showCatName val="0"/>
          <c:showSerName val="0"/>
          <c:showPercent val="0"/>
          <c:showBubbleSize val="0"/>
        </c:dLbls>
        <c:smooth val="0"/>
        <c:axId val="31849472"/>
        <c:axId val="31846144"/>
      </c:lineChart>
      <c:catAx>
        <c:axId val="31849472"/>
        <c:scaling>
          <c:orientation val="minMax"/>
        </c:scaling>
        <c:delete val="1"/>
        <c:axPos val="b"/>
        <c:numFmt formatCode="General" sourceLinked="1"/>
        <c:majorTickMark val="none"/>
        <c:minorTickMark val="none"/>
        <c:tickLblPos val="nextTo"/>
        <c:crossAx val="31846144"/>
        <c:crosses val="autoZero"/>
        <c:auto val="1"/>
        <c:lblAlgn val="ctr"/>
        <c:lblOffset val="100"/>
        <c:noMultiLvlLbl val="0"/>
      </c:catAx>
      <c:valAx>
        <c:axId val="31846144"/>
        <c:scaling>
          <c:orientation val="minMax"/>
        </c:scaling>
        <c:delete val="1"/>
        <c:axPos val="l"/>
        <c:numFmt formatCode="_(&quot;R$&quot;* #,##0.00_);_(&quot;R$&quot;* \(#,##0.00\);_(&quot;R$&quot;* &quot;-&quot;??_);_(@_)" sourceLinked="1"/>
        <c:majorTickMark val="none"/>
        <c:minorTickMark val="none"/>
        <c:tickLblPos val="nextTo"/>
        <c:crossAx val="31849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Registro de Cantoneira'!A1"/><Relationship Id="rId3" Type="http://schemas.openxmlformats.org/officeDocument/2006/relationships/hyperlink" Target="https://commons.wikimedia.org/wiki/File:TetraPak-Logo_EN.svg" TargetMode="External"/><Relationship Id="rId7" Type="http://schemas.openxmlformats.org/officeDocument/2006/relationships/image" Target="../media/image6.svg"/><Relationship Id="rId12" Type="http://schemas.openxmlformats.org/officeDocument/2006/relationships/image" Target="../media/image10.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5" Type="http://schemas.openxmlformats.org/officeDocument/2006/relationships/image" Target="../media/image4.png"/><Relationship Id="rId10" Type="http://schemas.openxmlformats.org/officeDocument/2006/relationships/image" Target="../media/image8.svg"/><Relationship Id="rId4" Type="http://schemas.openxmlformats.org/officeDocument/2006/relationships/image" Target="../media/image3.png"/><Relationship Id="rId9" Type="http://schemas.openxmlformats.org/officeDocument/2006/relationships/image" Target="../media/image7.png"/></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chart" Target="../charts/chart8.xml"/><Relationship Id="rId3" Type="http://schemas.openxmlformats.org/officeDocument/2006/relationships/image" Target="../media/image12.svg"/><Relationship Id="rId7" Type="http://schemas.openxmlformats.org/officeDocument/2006/relationships/chart" Target="../charts/chart4.xml"/><Relationship Id="rId12" Type="http://schemas.openxmlformats.org/officeDocument/2006/relationships/image" Target="../media/image14.svg"/><Relationship Id="rId2" Type="http://schemas.openxmlformats.org/officeDocument/2006/relationships/image" Target="../media/image11.png"/><Relationship Id="rId1" Type="http://schemas.openxmlformats.org/officeDocument/2006/relationships/hyperlink" Target="#'Registro de Cantoneira'!A1"/><Relationship Id="rId6" Type="http://schemas.openxmlformats.org/officeDocument/2006/relationships/chart" Target="../charts/chart3.xml"/><Relationship Id="rId11" Type="http://schemas.openxmlformats.org/officeDocument/2006/relationships/image" Target="../media/image13.png"/><Relationship Id="rId5" Type="http://schemas.openxmlformats.org/officeDocument/2006/relationships/chart" Target="../charts/chart2.xml"/><Relationship Id="rId10" Type="http://schemas.openxmlformats.org/officeDocument/2006/relationships/chart" Target="../charts/chart7.xml"/><Relationship Id="rId4" Type="http://schemas.openxmlformats.org/officeDocument/2006/relationships/chart" Target="../charts/chart1.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image" Target="../media/image16.svg"/><Relationship Id="rId3" Type="http://schemas.openxmlformats.org/officeDocument/2006/relationships/hyperlink" Target="#'DashBoard An&#225;lise'!A1"/><Relationship Id="rId7" Type="http://schemas.openxmlformats.org/officeDocument/2006/relationships/image" Target="../media/image15.pn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Manual de Uso'!D1"/><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0</xdr:colOff>
      <xdr:row>0</xdr:row>
      <xdr:rowOff>0</xdr:rowOff>
    </xdr:from>
    <xdr:to>
      <xdr:col>14</xdr:col>
      <xdr:colOff>0</xdr:colOff>
      <xdr:row>75</xdr:row>
      <xdr:rowOff>0</xdr:rowOff>
    </xdr:to>
    <xdr:sp macro="" textlink="">
      <xdr:nvSpPr>
        <xdr:cNvPr id="2" name="TextBox 1">
          <a:extLst>
            <a:ext uri="{FF2B5EF4-FFF2-40B4-BE49-F238E27FC236}">
              <a16:creationId xmlns:a16="http://schemas.microsoft.com/office/drawing/2014/main" id="{E2D8961F-89F9-48FF-8361-34F74015A9B0}"/>
            </a:ext>
          </a:extLst>
        </xdr:cNvPr>
        <xdr:cNvSpPr txBox="1"/>
      </xdr:nvSpPr>
      <xdr:spPr>
        <a:xfrm>
          <a:off x="1820333" y="0"/>
          <a:ext cx="6674556" cy="13758333"/>
        </a:xfrm>
        <a:prstGeom prst="rect">
          <a:avLst/>
        </a:prstGeom>
        <a:solidFill>
          <a:srgbClr val="FFF7E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a:p>
          <a:endParaRPr lang="pt-BR" sz="1100"/>
        </a:p>
        <a:p>
          <a:endParaRPr lang="pt-BR" sz="1100"/>
        </a:p>
        <a:p>
          <a:endParaRPr lang="pt-BR" sz="1100"/>
        </a:p>
        <a:p>
          <a:endParaRPr lang="pt-BR" sz="1100"/>
        </a:p>
        <a:p>
          <a:endParaRPr lang="pt-BR" sz="1100"/>
        </a:p>
        <a:p>
          <a:r>
            <a:rPr lang="pt-BR" sz="1400" b="1">
              <a:latin typeface="Arial" panose="020B0604020202020204" pitchFamily="34" charset="0"/>
              <a:cs typeface="Arial" panose="020B0604020202020204" pitchFamily="34" charset="0"/>
            </a:rPr>
            <a:t>Informações</a:t>
          </a:r>
          <a:r>
            <a:rPr lang="pt-BR" sz="1400" b="1" baseline="0">
              <a:latin typeface="Arial" panose="020B0604020202020204" pitchFamily="34" charset="0"/>
              <a:cs typeface="Arial" panose="020B0604020202020204" pitchFamily="34" charset="0"/>
            </a:rPr>
            <a:t> sobre a Planilha:</a:t>
          </a:r>
        </a:p>
        <a:p>
          <a:endParaRPr lang="pt-BR" sz="1050">
            <a:latin typeface="Arial" panose="020B0604020202020204" pitchFamily="34" charset="0"/>
            <a:cs typeface="Arial" panose="020B0604020202020204" pitchFamily="34" charset="0"/>
          </a:endParaRPr>
        </a:p>
        <a:p>
          <a:r>
            <a:rPr lang="pt-BR" sz="1100" b="1">
              <a:latin typeface="Arial" panose="020B0604020202020204" pitchFamily="34" charset="0"/>
              <a:cs typeface="Arial" panose="020B0604020202020204" pitchFamily="34" charset="0"/>
            </a:rPr>
            <a:t>- REGISTRAR</a:t>
          </a:r>
          <a:r>
            <a:rPr lang="pt-BR" sz="1100" b="1" baseline="0">
              <a:latin typeface="Arial" panose="020B0604020202020204" pitchFamily="34" charset="0"/>
              <a:cs typeface="Arial" panose="020B0604020202020204" pitchFamily="34" charset="0"/>
            </a:rPr>
            <a:t> NOVAS CANTONEIRAS:</a:t>
          </a:r>
          <a:endParaRPr lang="pt-BR" sz="1100" b="1">
            <a:latin typeface="Arial" panose="020B0604020202020204" pitchFamily="34" charset="0"/>
            <a:cs typeface="Arial" panose="020B0604020202020204" pitchFamily="34" charset="0"/>
          </a:endParaRPr>
        </a:p>
        <a:p>
          <a:endParaRPr lang="pt-BR" sz="1050">
            <a:latin typeface="Arial" panose="020B0604020202020204" pitchFamily="34" charset="0"/>
            <a:cs typeface="Arial" panose="020B0604020202020204" pitchFamily="34" charset="0"/>
          </a:endParaRPr>
        </a:p>
        <a:p>
          <a:pPr algn="just"/>
          <a:r>
            <a:rPr lang="pt-BR" sz="1050" b="1">
              <a:latin typeface="Arial" panose="020B0604020202020204" pitchFamily="34" charset="0"/>
              <a:cs typeface="Arial" panose="020B0604020202020204" pitchFamily="34" charset="0"/>
            </a:rPr>
            <a:t>-&gt;</a:t>
          </a:r>
          <a:r>
            <a:rPr lang="pt-BR" sz="1050" baseline="0">
              <a:latin typeface="Arial" panose="020B0604020202020204" pitchFamily="34" charset="0"/>
              <a:cs typeface="Arial" panose="020B0604020202020204" pitchFamily="34" charset="0"/>
            </a:rPr>
            <a:t> O processo para adicionar novos débitos de cantoneiras foi modificado, assim ficando mais prático o método de inserir novos débitos. Para fazer o novo processo basta seguir as etapas:</a:t>
          </a:r>
        </a:p>
        <a:p>
          <a:endParaRPr lang="pt-BR" sz="1050" baseline="0">
            <a:latin typeface="Arial" panose="020B0604020202020204" pitchFamily="34" charset="0"/>
            <a:cs typeface="Arial" panose="020B0604020202020204" pitchFamily="34" charset="0"/>
          </a:endParaRPr>
        </a:p>
        <a:p>
          <a:r>
            <a:rPr lang="pt-BR" sz="1050" b="1" baseline="0">
              <a:latin typeface="Arial" panose="020B0604020202020204" pitchFamily="34" charset="0"/>
              <a:cs typeface="Arial" panose="020B0604020202020204" pitchFamily="34" charset="0"/>
            </a:rPr>
            <a:t>1° </a:t>
          </a:r>
          <a:r>
            <a:rPr lang="pt-BR" sz="1050" baseline="0">
              <a:latin typeface="Arial" panose="020B0604020202020204" pitchFamily="34" charset="0"/>
              <a:cs typeface="Arial" panose="020B0604020202020204" pitchFamily="34" charset="0"/>
            </a:rPr>
            <a:t>Vá para a aba </a:t>
          </a:r>
          <a:r>
            <a:rPr lang="pt-BR" sz="1050" b="1" baseline="0">
              <a:latin typeface="Arial" panose="020B0604020202020204" pitchFamily="34" charset="0"/>
              <a:cs typeface="Arial" panose="020B0604020202020204" pitchFamily="34" charset="0"/>
            </a:rPr>
            <a:t>" Registro de Cantoneira "</a:t>
          </a:r>
          <a:r>
            <a:rPr lang="pt-BR" sz="1050" baseline="0">
              <a:latin typeface="Arial" panose="020B0604020202020204" pitchFamily="34" charset="0"/>
              <a:cs typeface="Arial" panose="020B0604020202020204" pitchFamily="34" charset="0"/>
            </a:rPr>
            <a:t>, e clique em                            ;</a:t>
          </a:r>
        </a:p>
        <a:p>
          <a:endParaRPr lang="pt-BR" sz="1050" baseline="0">
            <a:latin typeface="Arial" panose="020B0604020202020204" pitchFamily="34" charset="0"/>
            <a:cs typeface="Arial" panose="020B0604020202020204" pitchFamily="34" charset="0"/>
          </a:endParaRPr>
        </a:p>
        <a:p>
          <a:pPr algn="just"/>
          <a:r>
            <a:rPr lang="pt-BR" sz="1050" b="1" baseline="0">
              <a:latin typeface="Arial" panose="020B0604020202020204" pitchFamily="34" charset="0"/>
              <a:cs typeface="Arial" panose="020B0604020202020204" pitchFamily="34" charset="0"/>
            </a:rPr>
            <a:t>2° </a:t>
          </a:r>
          <a:r>
            <a:rPr lang="pt-BR" sz="1050" baseline="0">
              <a:latin typeface="Arial" panose="020B0604020202020204" pitchFamily="34" charset="0"/>
              <a:cs typeface="Arial" panose="020B0604020202020204" pitchFamily="34" charset="0"/>
            </a:rPr>
            <a:t>Preencha todas as informações de maneira certa e sem erros para que o processo ocorra de maneira correta </a:t>
          </a:r>
          <a:r>
            <a:rPr lang="pt-BR" sz="1050" baseline="0">
              <a:solidFill>
                <a:schemeClr val="dk1"/>
              </a:solidFill>
              <a:effectLst/>
              <a:latin typeface="Arial" panose="020B0604020202020204" pitchFamily="34" charset="0"/>
              <a:ea typeface="+mn-ea"/>
              <a:cs typeface="Arial" panose="020B0604020202020204" pitchFamily="34" charset="0"/>
            </a:rPr>
            <a:t>(Caso tenha alguma lacuna em branco, ele não ira inserir os dados na tabela, e ira aparecer uma mensagem de erro). Exemplo:</a:t>
          </a: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pPr algn="just"/>
          <a:r>
            <a:rPr lang="pt-BR" sz="1050" b="1" baseline="0">
              <a:solidFill>
                <a:schemeClr val="dk1"/>
              </a:solidFill>
              <a:effectLst/>
              <a:latin typeface="Arial" panose="020B0604020202020204" pitchFamily="34" charset="0"/>
              <a:ea typeface="+mn-ea"/>
              <a:cs typeface="Arial" panose="020B0604020202020204" pitchFamily="34" charset="0"/>
            </a:rPr>
            <a:t>Observação:</a:t>
          </a:r>
          <a:r>
            <a:rPr lang="pt-BR" sz="1050" baseline="0">
              <a:solidFill>
                <a:schemeClr val="dk1"/>
              </a:solidFill>
              <a:effectLst/>
              <a:latin typeface="Arial" panose="020B0604020202020204" pitchFamily="34" charset="0"/>
              <a:ea typeface="+mn-ea"/>
              <a:cs typeface="Arial" panose="020B0604020202020204" pitchFamily="34" charset="0"/>
            </a:rPr>
            <a:t> Caso o débito não tenha alguma informação inserida, primeiramente, confirme se não foi esquecido de adicionar alguma informação, caso não tenha sido, adicione um </a:t>
          </a:r>
          <a:r>
            <a:rPr lang="pt-BR" sz="1050" b="1" baseline="0">
              <a:solidFill>
                <a:schemeClr val="dk1"/>
              </a:solidFill>
              <a:effectLst/>
              <a:latin typeface="Arial" panose="020B0604020202020204" pitchFamily="34" charset="0"/>
              <a:ea typeface="+mn-ea"/>
              <a:cs typeface="Arial" panose="020B0604020202020204" pitchFamily="34" charset="0"/>
            </a:rPr>
            <a:t>" * "</a:t>
          </a:r>
          <a:r>
            <a:rPr lang="pt-BR" sz="1050" baseline="0">
              <a:solidFill>
                <a:schemeClr val="dk1"/>
              </a:solidFill>
              <a:effectLst/>
              <a:latin typeface="Arial" panose="020B0604020202020204" pitchFamily="34" charset="0"/>
              <a:ea typeface="+mn-ea"/>
              <a:cs typeface="Arial" panose="020B0604020202020204" pitchFamily="34" charset="0"/>
            </a:rPr>
            <a:t>, na lacuna que está em branco, para seguir este padrão.</a:t>
          </a:r>
        </a:p>
        <a:p>
          <a:pPr algn="just"/>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050" b="1" baseline="0">
              <a:solidFill>
                <a:schemeClr val="dk1"/>
              </a:solidFill>
              <a:effectLst/>
              <a:latin typeface="Arial" panose="020B0604020202020204" pitchFamily="34" charset="0"/>
              <a:ea typeface="+mn-ea"/>
              <a:cs typeface="Arial" panose="020B0604020202020204" pitchFamily="34" charset="0"/>
            </a:rPr>
            <a:t>3°</a:t>
          </a:r>
          <a:r>
            <a:rPr lang="pt-BR" sz="1050" baseline="0">
              <a:solidFill>
                <a:schemeClr val="dk1"/>
              </a:solidFill>
              <a:effectLst/>
              <a:latin typeface="Arial" panose="020B0604020202020204" pitchFamily="34" charset="0"/>
              <a:ea typeface="+mn-ea"/>
              <a:cs typeface="Arial" panose="020B0604020202020204" pitchFamily="34" charset="0"/>
            </a:rPr>
            <a:t> Após feito o preenchimento dos campos clique no botão                    ;</a:t>
          </a:r>
        </a:p>
        <a:p>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050" b="1" baseline="0">
              <a:solidFill>
                <a:schemeClr val="dk1"/>
              </a:solidFill>
              <a:effectLst/>
              <a:latin typeface="Arial" panose="020B0604020202020204" pitchFamily="34" charset="0"/>
              <a:ea typeface="+mn-ea"/>
              <a:cs typeface="Arial" panose="020B0604020202020204" pitchFamily="34" charset="0"/>
            </a:rPr>
            <a:t>4°</a:t>
          </a:r>
          <a:r>
            <a:rPr lang="pt-BR" sz="1050" baseline="0">
              <a:solidFill>
                <a:schemeClr val="dk1"/>
              </a:solidFill>
              <a:effectLst/>
              <a:latin typeface="Arial" panose="020B0604020202020204" pitchFamily="34" charset="0"/>
              <a:ea typeface="+mn-ea"/>
              <a:cs typeface="Arial" panose="020B0604020202020204" pitchFamily="34" charset="0"/>
            </a:rPr>
            <a:t> Ao fazer isso, a seguinte mensagem ira aparecer                                                    .</a:t>
          </a:r>
        </a:p>
        <a:p>
          <a:endParaRPr lang="pt-BR" sz="1050" baseline="0">
            <a:solidFill>
              <a:schemeClr val="dk1"/>
            </a:solidFill>
            <a:effectLst/>
            <a:latin typeface="Arial" panose="020B0604020202020204" pitchFamily="34" charset="0"/>
            <a:ea typeface="+mn-ea"/>
            <a:cs typeface="Arial" panose="020B0604020202020204" pitchFamily="34" charset="0"/>
          </a:endParaRPr>
        </a:p>
        <a:p>
          <a:pPr algn="just"/>
          <a:r>
            <a:rPr lang="pt-BR" sz="1050" b="1" baseline="0">
              <a:solidFill>
                <a:schemeClr val="accent2"/>
              </a:solidFill>
              <a:effectLst/>
              <a:latin typeface="Arial" panose="020B0604020202020204" pitchFamily="34" charset="0"/>
              <a:ea typeface="+mn-ea"/>
              <a:cs typeface="Arial" panose="020B0604020202020204" pitchFamily="34" charset="0"/>
            </a:rPr>
            <a:t>AVISOS: </a:t>
          </a:r>
        </a:p>
        <a:p>
          <a:pPr algn="just"/>
          <a:r>
            <a:rPr lang="pt-BR" sz="1050" b="1" baseline="0">
              <a:solidFill>
                <a:schemeClr val="dk1"/>
              </a:solidFill>
              <a:effectLst/>
              <a:latin typeface="Arial" panose="020B0604020202020204" pitchFamily="34" charset="0"/>
              <a:ea typeface="+mn-ea"/>
              <a:cs typeface="Arial" panose="020B0604020202020204" pitchFamily="34" charset="0"/>
            </a:rPr>
            <a:t>- </a:t>
          </a:r>
          <a:r>
            <a:rPr lang="pt-BR" sz="1050" baseline="0">
              <a:solidFill>
                <a:schemeClr val="dk1"/>
              </a:solidFill>
              <a:effectLst/>
              <a:latin typeface="Arial" panose="020B0604020202020204" pitchFamily="34" charset="0"/>
              <a:ea typeface="+mn-ea"/>
              <a:cs typeface="Arial" panose="020B0604020202020204" pitchFamily="34" charset="0"/>
            </a:rPr>
            <a:t>Após feito o resgistro, todas as células (Menos os filtros), seram bloqueados com senha para que não ocorra nenhuma mudança no padrão das células, assim, caso tenha que fazer alguma alteração, basta fazer  </a:t>
          </a:r>
        </a:p>
        <a:p>
          <a:pPr algn="just"/>
          <a:endParaRPr lang="pt-BR" sz="1050" baseline="0">
            <a:solidFill>
              <a:schemeClr val="dk1"/>
            </a:solidFill>
            <a:effectLst/>
            <a:latin typeface="Arial" panose="020B0604020202020204" pitchFamily="34" charset="0"/>
            <a:ea typeface="+mn-ea"/>
            <a:cs typeface="Arial" panose="020B0604020202020204" pitchFamily="34" charset="0"/>
          </a:endParaRPr>
        </a:p>
        <a:p>
          <a:pPr algn="just"/>
          <a:r>
            <a:rPr lang="pt-BR" sz="1050" baseline="0">
              <a:solidFill>
                <a:schemeClr val="dk1"/>
              </a:solidFill>
              <a:effectLst/>
              <a:latin typeface="Arial" panose="020B0604020202020204" pitchFamily="34" charset="0"/>
              <a:ea typeface="+mn-ea"/>
              <a:cs typeface="Arial" panose="020B0604020202020204" pitchFamily="34" charset="0"/>
            </a:rPr>
            <a:t>a alteração manual, usando a senha </a:t>
          </a:r>
          <a:r>
            <a:rPr lang="pt-BR" sz="1050" b="1" baseline="0">
              <a:solidFill>
                <a:schemeClr val="dk1"/>
              </a:solidFill>
              <a:effectLst/>
              <a:latin typeface="Arial" panose="020B0604020202020204" pitchFamily="34" charset="0"/>
              <a:ea typeface="+mn-ea"/>
              <a:cs typeface="Arial" panose="020B0604020202020204" pitchFamily="34" charset="0"/>
            </a:rPr>
            <a:t>" 1234 "</a:t>
          </a:r>
          <a:r>
            <a:rPr lang="pt-BR" sz="1050" baseline="0">
              <a:solidFill>
                <a:schemeClr val="dk1"/>
              </a:solidFill>
              <a:effectLst/>
              <a:latin typeface="Arial" panose="020B0604020202020204" pitchFamily="34" charset="0"/>
              <a:ea typeface="+mn-ea"/>
              <a:cs typeface="Arial" panose="020B0604020202020204" pitchFamily="34" charset="0"/>
            </a:rPr>
            <a:t>, ou clicar no botão                para desbloquear as células e realizar as alterações. </a:t>
          </a:r>
        </a:p>
        <a:p>
          <a:endParaRPr lang="pt-BR" sz="1050" baseline="0">
            <a:solidFill>
              <a:schemeClr val="dk1"/>
            </a:solidFill>
            <a:effectLst/>
            <a:latin typeface="Arial" panose="020B0604020202020204" pitchFamily="34" charset="0"/>
            <a:ea typeface="+mn-ea"/>
            <a:cs typeface="Arial" panose="020B0604020202020204" pitchFamily="34" charset="0"/>
          </a:endParaRPr>
        </a:p>
        <a:p>
          <a:pPr algn="just"/>
          <a:r>
            <a:rPr lang="pt-BR" sz="1050" b="1" baseline="0">
              <a:solidFill>
                <a:srgbClr val="FF0000"/>
              </a:solidFill>
              <a:effectLst/>
              <a:latin typeface="Arial" panose="020B0604020202020204" pitchFamily="34" charset="0"/>
              <a:ea typeface="+mn-ea"/>
              <a:cs typeface="Arial" panose="020B0604020202020204" pitchFamily="34" charset="0"/>
            </a:rPr>
            <a:t>Atenção:</a:t>
          </a:r>
          <a:r>
            <a:rPr lang="pt-BR" sz="1050" baseline="0">
              <a:solidFill>
                <a:schemeClr val="dk1"/>
              </a:solidFill>
              <a:effectLst/>
              <a:latin typeface="Arial" panose="020B0604020202020204" pitchFamily="34" charset="0"/>
              <a:ea typeface="+mn-ea"/>
              <a:cs typeface="Arial" panose="020B0604020202020204" pitchFamily="34" charset="0"/>
            </a:rPr>
            <a:t> Após realizar as alterações, faça o bloqueio manualmente usando a mesma senha que a anterior, caso altere a senha ou esqueça a senha modificada, o programa irá parar de funcionar, dando erro ao adicionar novos débitos.</a:t>
          </a:r>
        </a:p>
        <a:p>
          <a:pPr algn="just"/>
          <a:r>
            <a:rPr lang="pt-BR" sz="1050" b="1" baseline="0">
              <a:solidFill>
                <a:srgbClr val="00B050"/>
              </a:solidFill>
              <a:effectLst/>
              <a:latin typeface="Arial" panose="020B0604020202020204" pitchFamily="34" charset="0"/>
              <a:ea typeface="+mn-ea"/>
              <a:cs typeface="Arial" panose="020B0604020202020204" pitchFamily="34" charset="0"/>
            </a:rPr>
            <a:t>Sugestão:</a:t>
          </a:r>
          <a:r>
            <a:rPr lang="pt-BR" sz="1050" baseline="0">
              <a:solidFill>
                <a:schemeClr val="dk1"/>
              </a:solidFill>
              <a:effectLst/>
              <a:latin typeface="Arial" panose="020B0604020202020204" pitchFamily="34" charset="0"/>
              <a:ea typeface="+mn-ea"/>
              <a:cs typeface="Arial" panose="020B0604020202020204" pitchFamily="34" charset="0"/>
            </a:rPr>
            <a:t> Após fazer as alterações e ter sido salvas, feche a planilha e abra novamente, assim a planilha será bloqueada novamente com a senha certa, sem erros.</a:t>
          </a:r>
        </a:p>
        <a:p>
          <a:endParaRPr lang="pt-BR" sz="1050" baseline="0">
            <a:solidFill>
              <a:schemeClr val="dk1"/>
            </a:solidFill>
            <a:effectLst/>
            <a:latin typeface="Arial" panose="020B0604020202020204" pitchFamily="34" charset="0"/>
            <a:ea typeface="+mn-ea"/>
            <a:cs typeface="Arial" panose="020B0604020202020204" pitchFamily="34" charset="0"/>
          </a:endParaRPr>
        </a:p>
        <a:p>
          <a:pPr algn="just"/>
          <a:r>
            <a:rPr lang="pt-BR" sz="1050" b="1" baseline="0">
              <a:solidFill>
                <a:schemeClr val="dk1"/>
              </a:solidFill>
              <a:effectLst/>
              <a:latin typeface="Arial" panose="020B0604020202020204" pitchFamily="34" charset="0"/>
              <a:ea typeface="+mn-ea"/>
              <a:cs typeface="Arial" panose="020B0604020202020204" pitchFamily="34" charset="0"/>
            </a:rPr>
            <a:t>-</a:t>
          </a:r>
          <a:r>
            <a:rPr lang="pt-BR" sz="1050" baseline="0">
              <a:solidFill>
                <a:schemeClr val="dk1"/>
              </a:solidFill>
              <a:effectLst/>
              <a:latin typeface="Arial" panose="020B0604020202020204" pitchFamily="34" charset="0"/>
              <a:ea typeface="+mn-ea"/>
              <a:cs typeface="Arial" panose="020B0604020202020204" pitchFamily="34" charset="0"/>
            </a:rPr>
            <a:t> Ao clicar em registrar, o seu trabalho será salvo de maneira automática, evitando assim a perca do seu trabalho.</a:t>
          </a:r>
        </a:p>
        <a:p>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100" b="1" baseline="0">
              <a:solidFill>
                <a:schemeClr val="dk1"/>
              </a:solidFill>
              <a:effectLst/>
              <a:latin typeface="Arial" panose="020B0604020202020204" pitchFamily="34" charset="0"/>
              <a:ea typeface="+mn-ea"/>
              <a:cs typeface="Arial" panose="020B0604020202020204" pitchFamily="34" charset="0"/>
            </a:rPr>
            <a:t>-DASHBOARD:</a:t>
          </a:r>
        </a:p>
        <a:p>
          <a:endParaRPr lang="pt-BR" sz="1050" baseline="0">
            <a:solidFill>
              <a:schemeClr val="dk1"/>
            </a:solidFill>
            <a:effectLst/>
            <a:latin typeface="Arial" panose="020B0604020202020204" pitchFamily="34" charset="0"/>
            <a:ea typeface="+mn-ea"/>
            <a:cs typeface="Arial" panose="020B0604020202020204" pitchFamily="34" charset="0"/>
          </a:endParaRPr>
        </a:p>
        <a:p>
          <a:pPr algn="just"/>
          <a:r>
            <a:rPr lang="pt-BR" sz="1050" b="1" baseline="0">
              <a:solidFill>
                <a:schemeClr val="dk1"/>
              </a:solidFill>
              <a:effectLst/>
              <a:latin typeface="Arial" panose="020B0604020202020204" pitchFamily="34" charset="0"/>
              <a:ea typeface="+mn-ea"/>
              <a:cs typeface="Arial" panose="020B0604020202020204" pitchFamily="34" charset="0"/>
            </a:rPr>
            <a:t>-&gt; </a:t>
          </a:r>
          <a:r>
            <a:rPr lang="pt-BR" sz="1050" baseline="0">
              <a:solidFill>
                <a:schemeClr val="dk1"/>
              </a:solidFill>
              <a:effectLst/>
              <a:latin typeface="Arial" panose="020B0604020202020204" pitchFamily="34" charset="0"/>
              <a:ea typeface="+mn-ea"/>
              <a:cs typeface="Arial" panose="020B0604020202020204" pitchFamily="34" charset="0"/>
            </a:rPr>
            <a:t> Foi adicionado um meio mais fácil de visualizar os valores, e quanto as empresas lucraram, facilitando assim o fechamento dos valores no final mês, alem de ajudar na visualização dos lucros por ano, caso seja necessário fazer uma analize mais detalhada.</a:t>
          </a:r>
        </a:p>
        <a:p>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050" b="1" baseline="0">
              <a:solidFill>
                <a:schemeClr val="accent2"/>
              </a:solidFill>
              <a:effectLst/>
              <a:latin typeface="Arial" panose="020B0604020202020204" pitchFamily="34" charset="0"/>
              <a:ea typeface="+mn-ea"/>
              <a:cs typeface="Arial" panose="020B0604020202020204" pitchFamily="34" charset="0"/>
            </a:rPr>
            <a:t>AVISO:</a:t>
          </a:r>
        </a:p>
        <a:p>
          <a:pPr algn="just"/>
          <a:r>
            <a:rPr lang="pt-BR" sz="1050" b="1" baseline="0">
              <a:solidFill>
                <a:schemeClr val="dk1"/>
              </a:solidFill>
              <a:effectLst/>
              <a:latin typeface="Arial" panose="020B0604020202020204" pitchFamily="34" charset="0"/>
              <a:ea typeface="+mn-ea"/>
              <a:cs typeface="Arial" panose="020B0604020202020204" pitchFamily="34" charset="0"/>
            </a:rPr>
            <a:t>- </a:t>
          </a:r>
          <a:r>
            <a:rPr lang="pt-BR" sz="1050" baseline="0">
              <a:solidFill>
                <a:schemeClr val="dk1"/>
              </a:solidFill>
              <a:effectLst/>
              <a:latin typeface="Arial" panose="020B0604020202020204" pitchFamily="34" charset="0"/>
              <a:ea typeface="+mn-ea"/>
              <a:cs typeface="Arial" panose="020B0604020202020204" pitchFamily="34" charset="0"/>
            </a:rPr>
            <a:t> Não será preciso atualizar a DashBoard, sempre que adicionar um novo débito e clicar no botão </a:t>
          </a:r>
        </a:p>
        <a:p>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050" baseline="0">
              <a:solidFill>
                <a:schemeClr val="dk1"/>
              </a:solidFill>
              <a:effectLst/>
              <a:latin typeface="Arial" panose="020B0604020202020204" pitchFamily="34" charset="0"/>
              <a:ea typeface="+mn-ea"/>
              <a:cs typeface="Arial" panose="020B0604020202020204" pitchFamily="34" charset="0"/>
            </a:rPr>
            <a:t>                   , automaticamente irá atualizar os dados, aparecendo a seguinte informação: </a:t>
          </a:r>
        </a:p>
        <a:p>
          <a:r>
            <a:rPr lang="pt-BR" sz="1050" baseline="0">
              <a:solidFill>
                <a:schemeClr val="dk1"/>
              </a:solidFill>
              <a:effectLst/>
              <a:latin typeface="Arial" panose="020B0604020202020204" pitchFamily="34" charset="0"/>
              <a:ea typeface="+mn-ea"/>
              <a:cs typeface="Arial" panose="020B0604020202020204" pitchFamily="34" charset="0"/>
            </a:rPr>
            <a:t>                                            </a:t>
          </a:r>
        </a:p>
        <a:p>
          <a:r>
            <a:rPr lang="pt-BR" sz="1050" baseline="0">
              <a:solidFill>
                <a:schemeClr val="dk1"/>
              </a:solidFill>
              <a:effectLst/>
              <a:latin typeface="Arial" panose="020B0604020202020204" pitchFamily="34" charset="0"/>
              <a:ea typeface="+mn-ea"/>
              <a:cs typeface="Arial" panose="020B0604020202020204" pitchFamily="34" charset="0"/>
            </a:rPr>
            <a:t>                                     , adicionando assim  os novos dados.</a:t>
          </a: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pt-BR" sz="1100" b="1" baseline="0">
              <a:solidFill>
                <a:schemeClr val="dk1"/>
              </a:solidFill>
              <a:effectLst/>
              <a:latin typeface="+mn-lt"/>
              <a:ea typeface="+mn-ea"/>
              <a:cs typeface="+mn-cs"/>
            </a:rPr>
            <a:t>Observação 2: </a:t>
          </a:r>
          <a:r>
            <a:rPr lang="pt-BR" sz="1050" b="0" baseline="0">
              <a:solidFill>
                <a:schemeClr val="dk1"/>
              </a:solidFill>
              <a:effectLst/>
              <a:latin typeface="Arial" panose="020B0604020202020204" pitchFamily="34" charset="0"/>
              <a:ea typeface="+mn-ea"/>
              <a:cs typeface="Arial" panose="020B0604020202020204" pitchFamily="34" charset="0"/>
            </a:rPr>
            <a:t>Foi inserido um novo campo no "Registro de Cantoneiras", como mostrado na imagem:</a:t>
          </a:r>
        </a:p>
        <a:p>
          <a:pPr marL="0" marR="0" lvl="0" indent="0" defTabSz="914400" eaLnBrk="1" fontAlgn="auto" latinLnBrk="0" hangingPunct="1">
            <a:lnSpc>
              <a:spcPct val="100000"/>
            </a:lnSpc>
            <a:spcBef>
              <a:spcPts val="0"/>
            </a:spcBef>
            <a:spcAft>
              <a:spcPts val="0"/>
            </a:spcAft>
            <a:buClrTx/>
            <a:buSzTx/>
            <a:buFontTx/>
            <a:buNone/>
            <a:tabLst/>
            <a:defRPr/>
          </a:pPr>
          <a:endParaRPr lang="pt-BR" sz="1050">
            <a:effectLst/>
          </a:endParaRPr>
        </a:p>
        <a:p>
          <a:r>
            <a:rPr lang="pt-BR" sz="1050" baseline="0">
              <a:solidFill>
                <a:schemeClr val="dk1"/>
              </a:solidFill>
              <a:effectLst/>
              <a:latin typeface="Arial" panose="020B0604020202020204" pitchFamily="34" charset="0"/>
              <a:ea typeface="+mn-ea"/>
              <a:cs typeface="Arial" panose="020B0604020202020204" pitchFamily="34" charset="0"/>
            </a:rPr>
            <a:t>                          , nesse campo denominado "Devolução", deverá ser usado quando ocorrer alguma devolução de cantoneiras por parte de alguma empresa.</a:t>
          </a:r>
        </a:p>
        <a:p>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050" baseline="0">
              <a:solidFill>
                <a:schemeClr val="dk1"/>
              </a:solidFill>
              <a:effectLst/>
              <a:latin typeface="Arial" panose="020B0604020202020204" pitchFamily="34" charset="0"/>
              <a:ea typeface="+mn-ea"/>
              <a:cs typeface="Arial" panose="020B0604020202020204" pitchFamily="34" charset="0"/>
            </a:rPr>
            <a:t>-&gt; A maneira de preenchimento deverá ser feita com algumas pequenas alterações:</a:t>
          </a:r>
        </a:p>
        <a:p>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050" baseline="0">
              <a:solidFill>
                <a:schemeClr val="dk1"/>
              </a:solidFill>
              <a:effectLst/>
              <a:latin typeface="Arial" panose="020B0604020202020204" pitchFamily="34" charset="0"/>
              <a:ea typeface="+mn-ea"/>
              <a:cs typeface="Arial" panose="020B0604020202020204" pitchFamily="34" charset="0"/>
            </a:rPr>
            <a:t>- Os campos de "Placa de Cavalo" e "Placa de Carreta", deveram ser preenchidas com o sinal " * ", pois não será apresentados esses dados.</a:t>
          </a:r>
        </a:p>
        <a:p>
          <a:endParaRPr lang="pt-BR" sz="1050" baseline="0">
            <a:solidFill>
              <a:schemeClr val="dk1"/>
            </a:solidFill>
            <a:effectLst/>
            <a:latin typeface="Arial" panose="020B0604020202020204" pitchFamily="34" charset="0"/>
            <a:ea typeface="+mn-ea"/>
            <a:cs typeface="Arial" panose="020B0604020202020204" pitchFamily="34" charset="0"/>
          </a:endParaRPr>
        </a:p>
        <a:p>
          <a:r>
            <a:rPr lang="pt-BR" sz="1050" baseline="0">
              <a:solidFill>
                <a:schemeClr val="dk1"/>
              </a:solidFill>
              <a:effectLst/>
              <a:latin typeface="Arial" panose="020B0604020202020204" pitchFamily="34" charset="0"/>
              <a:ea typeface="+mn-ea"/>
              <a:cs typeface="Arial" panose="020B0604020202020204" pitchFamily="34" charset="0"/>
            </a:rPr>
            <a:t>- O campo de "Quantidade de Cantoneiras", deverá ser representado com a QUANTIDADE DE CANTONEIRAS COM O SINAL NEGATIVO (-23, -02...), para depois os dados forem atualizados de maneira correta.          </a:t>
          </a:r>
        </a:p>
        <a:p>
          <a:endParaRPr lang="pt-BR" sz="1050" baseline="0">
            <a:solidFill>
              <a:schemeClr val="dk1"/>
            </a:solidFill>
            <a:effectLst/>
            <a:latin typeface="Arial" panose="020B0604020202020204" pitchFamily="34" charset="0"/>
            <a:ea typeface="+mn-ea"/>
            <a:cs typeface="Arial" panose="020B0604020202020204" pitchFamily="34" charset="0"/>
          </a:endParaRPr>
        </a:p>
        <a:p>
          <a:endParaRPr lang="pt-BR" sz="1050" baseline="0">
            <a:solidFill>
              <a:schemeClr val="dk1"/>
            </a:solidFill>
            <a:effectLst/>
            <a:latin typeface="Arial" panose="020B0604020202020204" pitchFamily="34" charset="0"/>
            <a:ea typeface="+mn-ea"/>
            <a:cs typeface="Arial" panose="020B0604020202020204" pitchFamily="34" charset="0"/>
          </a:endParaRPr>
        </a:p>
        <a:p>
          <a:pPr algn="r"/>
          <a:r>
            <a:rPr lang="pt-BR" sz="1050" baseline="0">
              <a:solidFill>
                <a:schemeClr val="dk1"/>
              </a:solidFill>
              <a:effectLst/>
              <a:latin typeface="Arial" panose="020B0604020202020204" pitchFamily="34" charset="0"/>
              <a:ea typeface="+mn-ea"/>
              <a:cs typeface="Arial" panose="020B0604020202020204" pitchFamily="34" charset="0"/>
            </a:rPr>
            <a:t>Ass: Matheus Emanuel de Paula</a:t>
          </a:r>
        </a:p>
        <a:p>
          <a:pPr algn="r"/>
          <a:r>
            <a:rPr lang="pt-BR" sz="1050" baseline="0">
              <a:solidFill>
                <a:schemeClr val="dk1"/>
              </a:solidFill>
              <a:effectLst/>
              <a:latin typeface="Arial" panose="020B0604020202020204" pitchFamily="34" charset="0"/>
              <a:ea typeface="+mn-ea"/>
              <a:cs typeface="Arial" panose="020B0604020202020204" pitchFamily="34" charset="0"/>
            </a:rPr>
            <a:t>Jovem Aprendiz (24/05/2021) </a:t>
          </a:r>
        </a:p>
        <a:p>
          <a:endParaRPr lang="pt-BR" sz="1100" baseline="0">
            <a:solidFill>
              <a:schemeClr val="dk1"/>
            </a:solidFill>
            <a:effectLst/>
            <a:latin typeface="+mn-lt"/>
            <a:ea typeface="+mn-ea"/>
            <a:cs typeface="+mn-cs"/>
          </a:endParaRPr>
        </a:p>
        <a:p>
          <a:endParaRPr lang="pt-BR" sz="1100" baseline="0">
            <a:solidFill>
              <a:schemeClr val="dk1"/>
            </a:solidFill>
            <a:effectLst/>
            <a:latin typeface="+mn-lt"/>
            <a:ea typeface="+mn-ea"/>
            <a:cs typeface="+mn-cs"/>
          </a:endParaRPr>
        </a:p>
        <a:p>
          <a:endParaRPr lang="pt-BR" sz="1100" baseline="0">
            <a:solidFill>
              <a:schemeClr val="dk1"/>
            </a:solidFill>
            <a:effectLst/>
            <a:latin typeface="+mn-lt"/>
            <a:ea typeface="+mn-ea"/>
            <a:cs typeface="+mn-cs"/>
          </a:endParaRPr>
        </a:p>
        <a:p>
          <a:r>
            <a:rPr lang="pt-BR" sz="1100" baseline="0">
              <a:solidFill>
                <a:schemeClr val="dk1"/>
              </a:solidFill>
              <a:effectLst/>
              <a:latin typeface="+mn-lt"/>
              <a:ea typeface="+mn-ea"/>
              <a:cs typeface="+mn-cs"/>
            </a:rPr>
            <a:t> </a:t>
          </a:r>
        </a:p>
        <a:p>
          <a:endParaRPr lang="pt-BR" sz="1100" baseline="0">
            <a:solidFill>
              <a:schemeClr val="dk1"/>
            </a:solidFill>
            <a:effectLst/>
            <a:latin typeface="+mn-lt"/>
            <a:ea typeface="+mn-ea"/>
            <a:cs typeface="+mn-cs"/>
          </a:endParaRPr>
        </a:p>
        <a:p>
          <a:r>
            <a:rPr lang="pt-BR" sz="1100" baseline="0">
              <a:solidFill>
                <a:schemeClr val="dk1"/>
              </a:solidFill>
              <a:effectLst/>
              <a:latin typeface="+mn-lt"/>
              <a:ea typeface="+mn-ea"/>
              <a:cs typeface="+mn-cs"/>
            </a:rPr>
            <a:t>   </a:t>
          </a:r>
        </a:p>
        <a:p>
          <a:endParaRPr lang="pt-BR" sz="1100"/>
        </a:p>
      </xdr:txBody>
    </xdr:sp>
    <xdr:clientData/>
  </xdr:twoCellAnchor>
  <xdr:twoCellAnchor>
    <xdr:from>
      <xdr:col>3</xdr:col>
      <xdr:colOff>7056</xdr:colOff>
      <xdr:row>0</xdr:row>
      <xdr:rowOff>0</xdr:rowOff>
    </xdr:from>
    <xdr:to>
      <xdr:col>12</xdr:col>
      <xdr:colOff>543277</xdr:colOff>
      <xdr:row>4</xdr:row>
      <xdr:rowOff>126998</xdr:rowOff>
    </xdr:to>
    <xdr:sp macro="" textlink="">
      <xdr:nvSpPr>
        <xdr:cNvPr id="12" name="Rectangle 11">
          <a:extLst>
            <a:ext uri="{FF2B5EF4-FFF2-40B4-BE49-F238E27FC236}">
              <a16:creationId xmlns:a16="http://schemas.microsoft.com/office/drawing/2014/main" id="{272558EA-8204-4403-83E8-195E9AD9618A}"/>
            </a:ext>
          </a:extLst>
        </xdr:cNvPr>
        <xdr:cNvSpPr/>
      </xdr:nvSpPr>
      <xdr:spPr>
        <a:xfrm>
          <a:off x="1827389" y="0"/>
          <a:ext cx="5997221" cy="860776"/>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486848</xdr:colOff>
      <xdr:row>0</xdr:row>
      <xdr:rowOff>0</xdr:rowOff>
    </xdr:from>
    <xdr:to>
      <xdr:col>13</xdr:col>
      <xdr:colOff>564459</xdr:colOff>
      <xdr:row>4</xdr:row>
      <xdr:rowOff>112222</xdr:rowOff>
    </xdr:to>
    <xdr:grpSp>
      <xdr:nvGrpSpPr>
        <xdr:cNvPr id="8" name="Group 7">
          <a:extLst>
            <a:ext uri="{FF2B5EF4-FFF2-40B4-BE49-F238E27FC236}">
              <a16:creationId xmlns:a16="http://schemas.microsoft.com/office/drawing/2014/main" id="{2375723F-10FC-4DCE-9CD2-1AFEF2282626}"/>
            </a:ext>
          </a:extLst>
        </xdr:cNvPr>
        <xdr:cNvGrpSpPr/>
      </xdr:nvGrpSpPr>
      <xdr:grpSpPr>
        <a:xfrm>
          <a:off x="6307681" y="0"/>
          <a:ext cx="1823861" cy="874222"/>
          <a:chOff x="18812166" y="0"/>
          <a:chExt cx="2627746" cy="1253397"/>
        </a:xfrm>
      </xdr:grpSpPr>
      <xdr:sp macro="" textlink="">
        <xdr:nvSpPr>
          <xdr:cNvPr id="9" name="Isosceles Triangle 8">
            <a:extLst>
              <a:ext uri="{FF2B5EF4-FFF2-40B4-BE49-F238E27FC236}">
                <a16:creationId xmlns:a16="http://schemas.microsoft.com/office/drawing/2014/main" id="{37743911-9F31-4A56-B2C9-3E5716C0C76C}"/>
              </a:ext>
            </a:extLst>
          </xdr:cNvPr>
          <xdr:cNvSpPr/>
        </xdr:nvSpPr>
        <xdr:spPr>
          <a:xfrm flipV="1">
            <a:off x="19700540" y="632519"/>
            <a:ext cx="1739372" cy="620878"/>
          </a:xfrm>
          <a:prstGeom prst="triangle">
            <a:avLst/>
          </a:prstGeom>
          <a:solidFill>
            <a:srgbClr val="09FF78"/>
          </a:solidFill>
          <a:ln>
            <a:solidFill>
              <a:srgbClr val="09FF78"/>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Isosceles Triangle 9">
            <a:extLst>
              <a:ext uri="{FF2B5EF4-FFF2-40B4-BE49-F238E27FC236}">
                <a16:creationId xmlns:a16="http://schemas.microsoft.com/office/drawing/2014/main" id="{B813833B-73A3-4678-B2F6-422487BD1385}"/>
              </a:ext>
            </a:extLst>
          </xdr:cNvPr>
          <xdr:cNvSpPr/>
        </xdr:nvSpPr>
        <xdr:spPr>
          <a:xfrm flipV="1">
            <a:off x="18812166" y="3879"/>
            <a:ext cx="1739372" cy="620878"/>
          </a:xfrm>
          <a:prstGeom prst="triangle">
            <a:avLst/>
          </a:prstGeom>
          <a:solidFill>
            <a:srgbClr val="009242"/>
          </a:solidFill>
          <a:ln>
            <a:solidFill>
              <a:srgbClr val="009242"/>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 name="Isosceles Triangle 10">
            <a:extLst>
              <a:ext uri="{FF2B5EF4-FFF2-40B4-BE49-F238E27FC236}">
                <a16:creationId xmlns:a16="http://schemas.microsoft.com/office/drawing/2014/main" id="{AA5F5BDD-1392-4304-B146-0FEE0386B026}"/>
              </a:ext>
            </a:extLst>
          </xdr:cNvPr>
          <xdr:cNvSpPr/>
        </xdr:nvSpPr>
        <xdr:spPr>
          <a:xfrm>
            <a:off x="19697665" y="0"/>
            <a:ext cx="1739372" cy="620878"/>
          </a:xfrm>
          <a:prstGeom prst="triangle">
            <a:avLst/>
          </a:prstGeom>
          <a:solidFill>
            <a:srgbClr val="00D25F"/>
          </a:solidFill>
          <a:ln>
            <a:solidFill>
              <a:srgbClr val="00D25F"/>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3</xdr:col>
      <xdr:colOff>21166</xdr:colOff>
      <xdr:row>0</xdr:row>
      <xdr:rowOff>0</xdr:rowOff>
    </xdr:from>
    <xdr:to>
      <xdr:col>4</xdr:col>
      <xdr:colOff>287807</xdr:colOff>
      <xdr:row>4</xdr:row>
      <xdr:rowOff>123022</xdr:rowOff>
    </xdr:to>
    <xdr:grpSp>
      <xdr:nvGrpSpPr>
        <xdr:cNvPr id="14" name="Group 13">
          <a:extLst>
            <a:ext uri="{FF2B5EF4-FFF2-40B4-BE49-F238E27FC236}">
              <a16:creationId xmlns:a16="http://schemas.microsoft.com/office/drawing/2014/main" id="{DA7E51B2-DA03-4AE9-90FA-90FA1BA986FB}"/>
            </a:ext>
          </a:extLst>
        </xdr:cNvPr>
        <xdr:cNvGrpSpPr/>
      </xdr:nvGrpSpPr>
      <xdr:grpSpPr>
        <a:xfrm>
          <a:off x="1767416" y="0"/>
          <a:ext cx="848724" cy="885022"/>
          <a:chOff x="2730501" y="1023601"/>
          <a:chExt cx="873419" cy="799868"/>
        </a:xfrm>
      </xdr:grpSpPr>
      <xdr:sp macro="" textlink="">
        <xdr:nvSpPr>
          <xdr:cNvPr id="4" name="Isosceles Triangle 3">
            <a:extLst>
              <a:ext uri="{FF2B5EF4-FFF2-40B4-BE49-F238E27FC236}">
                <a16:creationId xmlns:a16="http://schemas.microsoft.com/office/drawing/2014/main" id="{81423764-4C86-46AF-9F8D-AD514CC11022}"/>
              </a:ext>
            </a:extLst>
          </xdr:cNvPr>
          <xdr:cNvSpPr/>
        </xdr:nvSpPr>
        <xdr:spPr>
          <a:xfrm>
            <a:off x="2730501" y="1428448"/>
            <a:ext cx="868818" cy="395021"/>
          </a:xfrm>
          <a:prstGeom prst="triangle">
            <a:avLst/>
          </a:prstGeom>
          <a:solidFill>
            <a:srgbClr val="21FF85"/>
          </a:solidFill>
          <a:ln>
            <a:solidFill>
              <a:srgbClr val="21FF85"/>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 name="Isosceles Triangle 4">
            <a:extLst>
              <a:ext uri="{FF2B5EF4-FFF2-40B4-BE49-F238E27FC236}">
                <a16:creationId xmlns:a16="http://schemas.microsoft.com/office/drawing/2014/main" id="{05DD4B04-06AC-4537-9C7B-61DDD48C2D86}"/>
              </a:ext>
            </a:extLst>
          </xdr:cNvPr>
          <xdr:cNvSpPr/>
        </xdr:nvSpPr>
        <xdr:spPr>
          <a:xfrm flipV="1">
            <a:off x="2731430" y="1032342"/>
            <a:ext cx="868818" cy="395021"/>
          </a:xfrm>
          <a:prstGeom prst="triangle">
            <a:avLst/>
          </a:prstGeom>
          <a:solidFill>
            <a:srgbClr val="00D25F"/>
          </a:solidFill>
          <a:ln>
            <a:solidFill>
              <a:srgbClr val="00D2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 name="Isosceles Triangle 5">
            <a:extLst>
              <a:ext uri="{FF2B5EF4-FFF2-40B4-BE49-F238E27FC236}">
                <a16:creationId xmlns:a16="http://schemas.microsoft.com/office/drawing/2014/main" id="{7964AD5C-2033-4BDA-86E7-D2824F67AA58}"/>
              </a:ext>
            </a:extLst>
          </xdr:cNvPr>
          <xdr:cNvSpPr/>
        </xdr:nvSpPr>
        <xdr:spPr>
          <a:xfrm rot="16200000">
            <a:off x="2991777" y="1201134"/>
            <a:ext cx="789676" cy="434610"/>
          </a:xfrm>
          <a:prstGeom prst="triangle">
            <a:avLst/>
          </a:prstGeom>
          <a:solidFill>
            <a:srgbClr val="00B050"/>
          </a:solidFill>
          <a:ln>
            <a:solidFill>
              <a:srgbClr val="00B05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Isosceles Triangle 6">
            <a:extLst>
              <a:ext uri="{FF2B5EF4-FFF2-40B4-BE49-F238E27FC236}">
                <a16:creationId xmlns:a16="http://schemas.microsoft.com/office/drawing/2014/main" id="{DE8D609C-0063-4589-A479-D43B9076D8E2}"/>
              </a:ext>
            </a:extLst>
          </xdr:cNvPr>
          <xdr:cNvSpPr/>
        </xdr:nvSpPr>
        <xdr:spPr>
          <a:xfrm rot="5400000" flipH="1">
            <a:off x="2553564" y="1207644"/>
            <a:ext cx="789676" cy="434610"/>
          </a:xfrm>
          <a:prstGeom prst="triangle">
            <a:avLst/>
          </a:prstGeom>
          <a:solidFill>
            <a:srgbClr val="00EE6C"/>
          </a:solidFill>
          <a:ln>
            <a:solidFill>
              <a:srgbClr val="00EE6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4</xdr:col>
      <xdr:colOff>261047</xdr:colOff>
      <xdr:row>0</xdr:row>
      <xdr:rowOff>91722</xdr:rowOff>
    </xdr:from>
    <xdr:to>
      <xdr:col>10</xdr:col>
      <xdr:colOff>507991</xdr:colOff>
      <xdr:row>4</xdr:row>
      <xdr:rowOff>35277</xdr:rowOff>
    </xdr:to>
    <xdr:sp macro="" textlink="">
      <xdr:nvSpPr>
        <xdr:cNvPr id="16" name="TextBox 15">
          <a:extLst>
            <a:ext uri="{FF2B5EF4-FFF2-40B4-BE49-F238E27FC236}">
              <a16:creationId xmlns:a16="http://schemas.microsoft.com/office/drawing/2014/main" id="{13756AFE-5401-4F91-8FE0-C6FBEF4D5188}"/>
            </a:ext>
          </a:extLst>
        </xdr:cNvPr>
        <xdr:cNvSpPr txBox="1"/>
      </xdr:nvSpPr>
      <xdr:spPr>
        <a:xfrm>
          <a:off x="2688158" y="91722"/>
          <a:ext cx="3887611" cy="677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3200" b="1">
              <a:solidFill>
                <a:schemeClr val="bg1"/>
              </a:solidFill>
              <a:latin typeface="Arial" panose="020B0604020202020204" pitchFamily="34" charset="0"/>
              <a:cs typeface="Arial" panose="020B0604020202020204" pitchFamily="34" charset="0"/>
            </a:rPr>
            <a:t>Manual</a:t>
          </a:r>
          <a:r>
            <a:rPr lang="pt-BR" sz="3200" b="1" baseline="0">
              <a:solidFill>
                <a:schemeClr val="bg1"/>
              </a:solidFill>
              <a:latin typeface="Arial" panose="020B0604020202020204" pitchFamily="34" charset="0"/>
              <a:cs typeface="Arial" panose="020B0604020202020204" pitchFamily="34" charset="0"/>
            </a:rPr>
            <a:t> de Uso</a:t>
          </a:r>
          <a:endParaRPr lang="pt-BR" sz="3200" b="1">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128058</xdr:colOff>
      <xdr:row>11</xdr:row>
      <xdr:rowOff>4</xdr:rowOff>
    </xdr:from>
    <xdr:to>
      <xdr:col>10</xdr:col>
      <xdr:colOff>409221</xdr:colOff>
      <xdr:row>13</xdr:row>
      <xdr:rowOff>14114</xdr:rowOff>
    </xdr:to>
    <xdr:sp macro="" textlink="">
      <xdr:nvSpPr>
        <xdr:cNvPr id="17" name="Rectangle: Rounded Corners 16">
          <a:extLst>
            <a:ext uri="{FF2B5EF4-FFF2-40B4-BE49-F238E27FC236}">
              <a16:creationId xmlns:a16="http://schemas.microsoft.com/office/drawing/2014/main" id="{92FCC00D-C94B-4684-B83B-091A150AFDFA}"/>
            </a:ext>
          </a:extLst>
        </xdr:cNvPr>
        <xdr:cNvSpPr/>
      </xdr:nvSpPr>
      <xdr:spPr>
        <a:xfrm>
          <a:off x="5366808" y="2095504"/>
          <a:ext cx="863246" cy="395110"/>
        </a:xfrm>
        <a:prstGeom prst="roundRect">
          <a:avLst/>
        </a:prstGeom>
        <a:solidFill>
          <a:schemeClr val="bg1"/>
        </a:solidFill>
        <a:ln w="38100">
          <a:solidFill>
            <a:srgbClr val="0070C0"/>
          </a:solidFill>
          <a:prstDash val="solid"/>
        </a:ln>
        <a:effectLst>
          <a:outerShdw blurRad="50800" dist="38100" dir="2700000" algn="tl" rotWithShape="0">
            <a:prstClr val="black">
              <a:alpha val="40000"/>
            </a:prstClr>
          </a:outerShdw>
        </a:effectLst>
        <a:scene3d>
          <a:camera prst="orthographicFront"/>
          <a:lightRig rig="threePt" dir="t"/>
        </a:scene3d>
        <a:sp3d>
          <a:bevelT w="101600" prst="ribl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0070C0"/>
              </a:solidFill>
              <a:latin typeface="Arial" panose="020B0604020202020204" pitchFamily="34" charset="0"/>
              <a:cs typeface="Arial" panose="020B0604020202020204" pitchFamily="34" charset="0"/>
            </a:rPr>
            <a:t>Registrar Novo Débito</a:t>
          </a:r>
        </a:p>
      </xdr:txBody>
    </xdr:sp>
    <xdr:clientData/>
  </xdr:twoCellAnchor>
  <xdr:twoCellAnchor editAs="oneCell">
    <xdr:from>
      <xdr:col>9</xdr:col>
      <xdr:colOff>134054</xdr:colOff>
      <xdr:row>27</xdr:row>
      <xdr:rowOff>186987</xdr:rowOff>
    </xdr:from>
    <xdr:to>
      <xdr:col>10</xdr:col>
      <xdr:colOff>157902</xdr:colOff>
      <xdr:row>29</xdr:row>
      <xdr:rowOff>95265</xdr:rowOff>
    </xdr:to>
    <xdr:pic>
      <xdr:nvPicPr>
        <xdr:cNvPr id="19" name="Picture 18">
          <a:extLst>
            <a:ext uri="{FF2B5EF4-FFF2-40B4-BE49-F238E27FC236}">
              <a16:creationId xmlns:a16="http://schemas.microsoft.com/office/drawing/2014/main" id="{6089597E-6801-4DF4-87EC-2E4E3EA03746}"/>
            </a:ext>
          </a:extLst>
        </xdr:cNvPr>
        <xdr:cNvPicPr>
          <a:picLocks noChangeAspect="1"/>
        </xdr:cNvPicPr>
      </xdr:nvPicPr>
      <xdr:blipFill rotWithShape="1">
        <a:blip xmlns:r="http://schemas.openxmlformats.org/officeDocument/2006/relationships" r:embed="rId1"/>
        <a:srcRect l="74878" t="91630" r="8026" b="1872"/>
        <a:stretch/>
      </xdr:blipFill>
      <xdr:spPr>
        <a:xfrm>
          <a:off x="5372804" y="5330487"/>
          <a:ext cx="605931" cy="289278"/>
        </a:xfrm>
        <a:prstGeom prst="rect">
          <a:avLst/>
        </a:prstGeom>
      </xdr:spPr>
    </xdr:pic>
    <xdr:clientData/>
  </xdr:twoCellAnchor>
  <xdr:twoCellAnchor>
    <xdr:from>
      <xdr:col>3</xdr:col>
      <xdr:colOff>84668</xdr:colOff>
      <xdr:row>0</xdr:row>
      <xdr:rowOff>98778</xdr:rowOff>
    </xdr:from>
    <xdr:to>
      <xdr:col>4</xdr:col>
      <xdr:colOff>141114</xdr:colOff>
      <xdr:row>4</xdr:row>
      <xdr:rowOff>26283</xdr:rowOff>
    </xdr:to>
    <xdr:grpSp>
      <xdr:nvGrpSpPr>
        <xdr:cNvPr id="20" name="Group 19">
          <a:extLst>
            <a:ext uri="{FF2B5EF4-FFF2-40B4-BE49-F238E27FC236}">
              <a16:creationId xmlns:a16="http://schemas.microsoft.com/office/drawing/2014/main" id="{32A0A67F-8695-4455-BC4C-23F0FE530825}"/>
            </a:ext>
          </a:extLst>
        </xdr:cNvPr>
        <xdr:cNvGrpSpPr/>
      </xdr:nvGrpSpPr>
      <xdr:grpSpPr>
        <a:xfrm>
          <a:off x="1830918" y="98778"/>
          <a:ext cx="638529" cy="689505"/>
          <a:chOff x="100852" y="110191"/>
          <a:chExt cx="1713733" cy="1612313"/>
        </a:xfrm>
      </xdr:grpSpPr>
      <xdr:sp macro="" textlink="">
        <xdr:nvSpPr>
          <xdr:cNvPr id="21" name="Oval 20">
            <a:extLst>
              <a:ext uri="{FF2B5EF4-FFF2-40B4-BE49-F238E27FC236}">
                <a16:creationId xmlns:a16="http://schemas.microsoft.com/office/drawing/2014/main" id="{79F3847E-4F6B-4483-AEF7-050CA58CEEF5}"/>
              </a:ext>
            </a:extLst>
          </xdr:cNvPr>
          <xdr:cNvSpPr/>
        </xdr:nvSpPr>
        <xdr:spPr>
          <a:xfrm>
            <a:off x="100852" y="110191"/>
            <a:ext cx="1713733" cy="1612313"/>
          </a:xfrm>
          <a:prstGeom prst="ellips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22" name="Picture 21">
            <a:extLst>
              <a:ext uri="{FF2B5EF4-FFF2-40B4-BE49-F238E27FC236}">
                <a16:creationId xmlns:a16="http://schemas.microsoft.com/office/drawing/2014/main" id="{D64FDB56-91F4-4F29-B6C4-E9B16A00808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159900" y="161813"/>
            <a:ext cx="1595637" cy="1502933"/>
          </a:xfrm>
          <a:prstGeom prst="rect">
            <a:avLst/>
          </a:prstGeom>
        </xdr:spPr>
      </xdr:pic>
    </xdr:grpSp>
    <xdr:clientData/>
  </xdr:twoCellAnchor>
  <xdr:twoCellAnchor editAs="oneCell">
    <xdr:from>
      <xdr:col>3</xdr:col>
      <xdr:colOff>67030</xdr:colOff>
      <xdr:row>53</xdr:row>
      <xdr:rowOff>116417</xdr:rowOff>
    </xdr:from>
    <xdr:to>
      <xdr:col>5</xdr:col>
      <xdr:colOff>215538</xdr:colOff>
      <xdr:row>55</xdr:row>
      <xdr:rowOff>52918</xdr:rowOff>
    </xdr:to>
    <xdr:pic>
      <xdr:nvPicPr>
        <xdr:cNvPr id="23" name="Picture 22">
          <a:extLst>
            <a:ext uri="{FF2B5EF4-FFF2-40B4-BE49-F238E27FC236}">
              <a16:creationId xmlns:a16="http://schemas.microsoft.com/office/drawing/2014/main" id="{EE9AF1AD-F857-4F58-B2F0-30303EA4E605}"/>
            </a:ext>
          </a:extLst>
        </xdr:cNvPr>
        <xdr:cNvPicPr>
          <a:picLocks noChangeAspect="1"/>
        </xdr:cNvPicPr>
      </xdr:nvPicPr>
      <xdr:blipFill rotWithShape="1">
        <a:blip xmlns:r="http://schemas.openxmlformats.org/officeDocument/2006/relationships" r:embed="rId4"/>
        <a:srcRect l="8874" t="32048" r="11980" b="44510"/>
        <a:stretch/>
      </xdr:blipFill>
      <xdr:spPr>
        <a:xfrm>
          <a:off x="1813280" y="10212917"/>
          <a:ext cx="1312675" cy="317501"/>
        </a:xfrm>
        <a:prstGeom prst="rect">
          <a:avLst/>
        </a:prstGeom>
        <a:ln>
          <a:solidFill>
            <a:schemeClr val="tx1"/>
          </a:solidFill>
        </a:ln>
      </xdr:spPr>
    </xdr:pic>
    <xdr:clientData/>
  </xdr:twoCellAnchor>
  <xdr:twoCellAnchor editAs="oneCell">
    <xdr:from>
      <xdr:col>8</xdr:col>
      <xdr:colOff>296333</xdr:colOff>
      <xdr:row>29</xdr:row>
      <xdr:rowOff>119949</xdr:rowOff>
    </xdr:from>
    <xdr:to>
      <xdr:col>11</xdr:col>
      <xdr:colOff>324555</xdr:colOff>
      <xdr:row>31</xdr:row>
      <xdr:rowOff>70560</xdr:rowOff>
    </xdr:to>
    <xdr:pic>
      <xdr:nvPicPr>
        <xdr:cNvPr id="24" name="Picture 23">
          <a:extLst>
            <a:ext uri="{FF2B5EF4-FFF2-40B4-BE49-F238E27FC236}">
              <a16:creationId xmlns:a16="http://schemas.microsoft.com/office/drawing/2014/main" id="{3588E504-2A94-4764-AEC5-530FF2D61944}"/>
            </a:ext>
          </a:extLst>
        </xdr:cNvPr>
        <xdr:cNvPicPr>
          <a:picLocks noChangeAspect="1"/>
        </xdr:cNvPicPr>
      </xdr:nvPicPr>
      <xdr:blipFill rotWithShape="1">
        <a:blip xmlns:r="http://schemas.openxmlformats.org/officeDocument/2006/relationships" r:embed="rId5"/>
        <a:srcRect l="5660" t="31254" r="9056" b="44234"/>
        <a:stretch/>
      </xdr:blipFill>
      <xdr:spPr>
        <a:xfrm>
          <a:off x="4953000" y="5644449"/>
          <a:ext cx="1774472" cy="331611"/>
        </a:xfrm>
        <a:prstGeom prst="rect">
          <a:avLst/>
        </a:prstGeom>
        <a:ln>
          <a:solidFill>
            <a:schemeClr val="tx1"/>
          </a:solidFill>
        </a:ln>
      </xdr:spPr>
    </xdr:pic>
    <xdr:clientData/>
  </xdr:twoCellAnchor>
  <xdr:twoCellAnchor>
    <xdr:from>
      <xdr:col>9</xdr:col>
      <xdr:colOff>553860</xdr:colOff>
      <xdr:row>34</xdr:row>
      <xdr:rowOff>134060</xdr:rowOff>
    </xdr:from>
    <xdr:to>
      <xdr:col>10</xdr:col>
      <xdr:colOff>356306</xdr:colOff>
      <xdr:row>36</xdr:row>
      <xdr:rowOff>147165</xdr:rowOff>
    </xdr:to>
    <xdr:grpSp>
      <xdr:nvGrpSpPr>
        <xdr:cNvPr id="25" name="Group 24">
          <a:extLst>
            <a:ext uri="{FF2B5EF4-FFF2-40B4-BE49-F238E27FC236}">
              <a16:creationId xmlns:a16="http://schemas.microsoft.com/office/drawing/2014/main" id="{08010BBA-38F5-47C2-81DA-729DC2154C57}"/>
            </a:ext>
          </a:extLst>
        </xdr:cNvPr>
        <xdr:cNvGrpSpPr/>
      </xdr:nvGrpSpPr>
      <xdr:grpSpPr>
        <a:xfrm>
          <a:off x="5792610" y="6611060"/>
          <a:ext cx="384529" cy="394105"/>
          <a:chOff x="4849090" y="133084456"/>
          <a:chExt cx="907649" cy="842817"/>
        </a:xfrm>
        <a:effectLst>
          <a:outerShdw blurRad="50800" dist="38100" dir="2700000" algn="tl" rotWithShape="0">
            <a:prstClr val="black">
              <a:alpha val="40000"/>
            </a:prstClr>
          </a:outerShdw>
        </a:effectLst>
      </xdr:grpSpPr>
      <xdr:sp macro="" textlink="">
        <xdr:nvSpPr>
          <xdr:cNvPr id="26" name="Oval 25">
            <a:extLst>
              <a:ext uri="{FF2B5EF4-FFF2-40B4-BE49-F238E27FC236}">
                <a16:creationId xmlns:a16="http://schemas.microsoft.com/office/drawing/2014/main" id="{B483A78B-CF1E-4A9F-94B1-4FEE5A942E0A}"/>
              </a:ext>
            </a:extLst>
          </xdr:cNvPr>
          <xdr:cNvSpPr/>
        </xdr:nvSpPr>
        <xdr:spPr>
          <a:xfrm>
            <a:off x="4849090" y="133084456"/>
            <a:ext cx="907649" cy="842817"/>
          </a:xfrm>
          <a:prstGeom prst="ellipse">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27" name="Graphic 26" descr="Unlock with solid fill">
            <a:extLst>
              <a:ext uri="{FF2B5EF4-FFF2-40B4-BE49-F238E27FC236}">
                <a16:creationId xmlns:a16="http://schemas.microsoft.com/office/drawing/2014/main" id="{997C79BF-1946-42E9-8E8B-CE10CCE4E59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018202" y="133219303"/>
            <a:ext cx="569425" cy="569426"/>
          </a:xfrm>
          <a:prstGeom prst="rect">
            <a:avLst/>
          </a:prstGeom>
          <a:ln>
            <a:noFill/>
          </a:ln>
          <a:effectLst/>
          <a:scene3d>
            <a:camera prst="orthographicFront">
              <a:rot lat="0" lon="0" rev="0"/>
            </a:camera>
            <a:lightRig rig="contrasting" dir="t">
              <a:rot lat="0" lon="0" rev="7800000"/>
            </a:lightRig>
          </a:scene3d>
          <a:sp3d>
            <a:bevelT w="139700" h="139700"/>
          </a:sp3d>
        </xdr:spPr>
      </xdr:pic>
    </xdr:grpSp>
    <xdr:clientData/>
  </xdr:twoCellAnchor>
  <xdr:twoCellAnchor editAs="oneCell">
    <xdr:from>
      <xdr:col>3</xdr:col>
      <xdr:colOff>119947</xdr:colOff>
      <xdr:row>51</xdr:row>
      <xdr:rowOff>176394</xdr:rowOff>
    </xdr:from>
    <xdr:to>
      <xdr:col>4</xdr:col>
      <xdr:colOff>168490</xdr:colOff>
      <xdr:row>53</xdr:row>
      <xdr:rowOff>91728</xdr:rowOff>
    </xdr:to>
    <xdr:pic>
      <xdr:nvPicPr>
        <xdr:cNvPr id="29" name="Picture 28">
          <a:extLst>
            <a:ext uri="{FF2B5EF4-FFF2-40B4-BE49-F238E27FC236}">
              <a16:creationId xmlns:a16="http://schemas.microsoft.com/office/drawing/2014/main" id="{5330AE88-2B97-4EA5-9359-445AB3646581}"/>
            </a:ext>
          </a:extLst>
        </xdr:cNvPr>
        <xdr:cNvPicPr>
          <a:picLocks noChangeAspect="1"/>
        </xdr:cNvPicPr>
      </xdr:nvPicPr>
      <xdr:blipFill rotWithShape="1">
        <a:blip xmlns:r="http://schemas.openxmlformats.org/officeDocument/2006/relationships" r:embed="rId1"/>
        <a:srcRect l="74878" t="91630" r="8026" b="1872"/>
        <a:stretch/>
      </xdr:blipFill>
      <xdr:spPr>
        <a:xfrm>
          <a:off x="1866197" y="9891894"/>
          <a:ext cx="630626" cy="296334"/>
        </a:xfrm>
        <a:prstGeom prst="rect">
          <a:avLst/>
        </a:prstGeom>
      </xdr:spPr>
    </xdr:pic>
    <xdr:clientData/>
  </xdr:twoCellAnchor>
  <xdr:twoCellAnchor>
    <xdr:from>
      <xdr:col>3</xdr:col>
      <xdr:colOff>70550</xdr:colOff>
      <xdr:row>70</xdr:row>
      <xdr:rowOff>49394</xdr:rowOff>
    </xdr:from>
    <xdr:to>
      <xdr:col>4</xdr:col>
      <xdr:colOff>66948</xdr:colOff>
      <xdr:row>73</xdr:row>
      <xdr:rowOff>59372</xdr:rowOff>
    </xdr:to>
    <xdr:grpSp>
      <xdr:nvGrpSpPr>
        <xdr:cNvPr id="33" name="Group 32">
          <a:hlinkClick xmlns:r="http://schemas.openxmlformats.org/officeDocument/2006/relationships" r:id="rId8"/>
          <a:extLst>
            <a:ext uri="{FF2B5EF4-FFF2-40B4-BE49-F238E27FC236}">
              <a16:creationId xmlns:a16="http://schemas.microsoft.com/office/drawing/2014/main" id="{A81AE369-29E5-4491-8A31-E8DBD683D6D5}"/>
            </a:ext>
          </a:extLst>
        </xdr:cNvPr>
        <xdr:cNvGrpSpPr/>
      </xdr:nvGrpSpPr>
      <xdr:grpSpPr>
        <a:xfrm>
          <a:off x="1816800" y="13384394"/>
          <a:ext cx="578481" cy="581478"/>
          <a:chOff x="1890883" y="10936110"/>
          <a:chExt cx="603176" cy="560311"/>
        </a:xfrm>
      </xdr:grpSpPr>
      <xdr:sp macro="" textlink="">
        <xdr:nvSpPr>
          <xdr:cNvPr id="31" name="Oval 30">
            <a:extLst>
              <a:ext uri="{FF2B5EF4-FFF2-40B4-BE49-F238E27FC236}">
                <a16:creationId xmlns:a16="http://schemas.microsoft.com/office/drawing/2014/main" id="{F71745BB-2E3D-4282-B413-0922B5C52887}"/>
              </a:ext>
            </a:extLst>
          </xdr:cNvPr>
          <xdr:cNvSpPr/>
        </xdr:nvSpPr>
        <xdr:spPr>
          <a:xfrm>
            <a:off x="1890883" y="10936110"/>
            <a:ext cx="603176" cy="560311"/>
          </a:xfrm>
          <a:prstGeom prst="ellipse">
            <a:avLst/>
          </a:prstGeom>
          <a:solidFill>
            <a:srgbClr val="285AD8"/>
          </a:solidFill>
          <a:ln w="38100">
            <a:solidFill>
              <a:schemeClr val="bg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0" cap="none" spc="0">
              <a:ln w="0"/>
              <a:solidFill>
                <a:schemeClr val="accent1"/>
              </a:solidFill>
              <a:effectLst>
                <a:outerShdw blurRad="38100" dist="25400" dir="5400000" algn="ctr" rotWithShape="0">
                  <a:srgbClr val="6E747A">
                    <a:alpha val="43000"/>
                  </a:srgbClr>
                </a:outerShdw>
              </a:effectLst>
            </a:endParaRPr>
          </a:p>
        </xdr:txBody>
      </xdr:sp>
      <xdr:pic>
        <xdr:nvPicPr>
          <xdr:cNvPr id="32" name="Graphic 31" descr="Arrow: Horizontal U-turn with solid fill">
            <a:extLst>
              <a:ext uri="{FF2B5EF4-FFF2-40B4-BE49-F238E27FC236}">
                <a16:creationId xmlns:a16="http://schemas.microsoft.com/office/drawing/2014/main" id="{25E11E86-B33F-4B91-8B4D-C9E3B78ED62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flipH="1">
            <a:off x="1976562" y="10999781"/>
            <a:ext cx="431819" cy="401132"/>
          </a:xfrm>
          <a:prstGeom prst="rect">
            <a:avLst/>
          </a:prstGeom>
        </xdr:spPr>
      </xdr:pic>
    </xdr:grpSp>
    <xdr:clientData/>
  </xdr:twoCellAnchor>
  <xdr:twoCellAnchor editAs="oneCell">
    <xdr:from>
      <xdr:col>3</xdr:col>
      <xdr:colOff>95252</xdr:colOff>
      <xdr:row>57</xdr:row>
      <xdr:rowOff>70555</xdr:rowOff>
    </xdr:from>
    <xdr:to>
      <xdr:col>4</xdr:col>
      <xdr:colOff>448029</xdr:colOff>
      <xdr:row>59</xdr:row>
      <xdr:rowOff>6842</xdr:rowOff>
    </xdr:to>
    <xdr:pic>
      <xdr:nvPicPr>
        <xdr:cNvPr id="3" name="Picture 2">
          <a:extLst>
            <a:ext uri="{FF2B5EF4-FFF2-40B4-BE49-F238E27FC236}">
              <a16:creationId xmlns:a16="http://schemas.microsoft.com/office/drawing/2014/main" id="{1CC1188E-9FD7-4448-9DD9-C4A6D8BC0B1F}"/>
            </a:ext>
          </a:extLst>
        </xdr:cNvPr>
        <xdr:cNvPicPr>
          <a:picLocks noChangeAspect="1"/>
        </xdr:cNvPicPr>
      </xdr:nvPicPr>
      <xdr:blipFill>
        <a:blip xmlns:r="http://schemas.openxmlformats.org/officeDocument/2006/relationships" r:embed="rId11"/>
        <a:stretch>
          <a:fillRect/>
        </a:stretch>
      </xdr:blipFill>
      <xdr:spPr>
        <a:xfrm>
          <a:off x="1841502" y="10929055"/>
          <a:ext cx="934860" cy="317287"/>
        </a:xfrm>
        <a:prstGeom prst="rect">
          <a:avLst/>
        </a:prstGeom>
      </xdr:spPr>
    </xdr:pic>
    <xdr:clientData/>
  </xdr:twoCellAnchor>
  <xdr:twoCellAnchor editAs="oneCell">
    <xdr:from>
      <xdr:col>6</xdr:col>
      <xdr:colOff>433915</xdr:colOff>
      <xdr:row>14</xdr:row>
      <xdr:rowOff>169333</xdr:rowOff>
    </xdr:from>
    <xdr:to>
      <xdr:col>9</xdr:col>
      <xdr:colOff>380998</xdr:colOff>
      <xdr:row>25</xdr:row>
      <xdr:rowOff>0</xdr:rowOff>
    </xdr:to>
    <xdr:pic>
      <xdr:nvPicPr>
        <xdr:cNvPr id="13" name="Imagem 12">
          <a:extLst>
            <a:ext uri="{FF2B5EF4-FFF2-40B4-BE49-F238E27FC236}">
              <a16:creationId xmlns:a16="http://schemas.microsoft.com/office/drawing/2014/main" id="{415A5301-5355-678B-1D45-90A5E1C583C2}"/>
            </a:ext>
          </a:extLst>
        </xdr:cNvPr>
        <xdr:cNvPicPr>
          <a:picLocks noChangeAspect="1"/>
        </xdr:cNvPicPr>
      </xdr:nvPicPr>
      <xdr:blipFill>
        <a:blip xmlns:r="http://schemas.openxmlformats.org/officeDocument/2006/relationships" r:embed="rId12"/>
        <a:stretch>
          <a:fillRect/>
        </a:stretch>
      </xdr:blipFill>
      <xdr:spPr>
        <a:xfrm>
          <a:off x="3926415" y="2836333"/>
          <a:ext cx="1693333" cy="19261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9388</xdr:rowOff>
    </xdr:from>
    <xdr:to>
      <xdr:col>38</xdr:col>
      <xdr:colOff>0</xdr:colOff>
      <xdr:row>50</xdr:row>
      <xdr:rowOff>0</xdr:rowOff>
    </xdr:to>
    <xdr:sp macro="" textlink="">
      <xdr:nvSpPr>
        <xdr:cNvPr id="3" name="Rectangle 2">
          <a:extLst>
            <a:ext uri="{FF2B5EF4-FFF2-40B4-BE49-F238E27FC236}">
              <a16:creationId xmlns:a16="http://schemas.microsoft.com/office/drawing/2014/main" id="{D17E1122-5405-4557-9F77-F4C57881F688}"/>
            </a:ext>
          </a:extLst>
        </xdr:cNvPr>
        <xdr:cNvSpPr/>
      </xdr:nvSpPr>
      <xdr:spPr>
        <a:xfrm>
          <a:off x="0" y="9388"/>
          <a:ext cx="21717000" cy="9515612"/>
        </a:xfrm>
        <a:prstGeom prst="rect">
          <a:avLst/>
        </a:prstGeom>
        <a:solidFill>
          <a:srgbClr val="285AD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264574</xdr:colOff>
      <xdr:row>0</xdr:row>
      <xdr:rowOff>166233</xdr:rowOff>
    </xdr:from>
    <xdr:to>
      <xdr:col>3</xdr:col>
      <xdr:colOff>151074</xdr:colOff>
      <xdr:row>49</xdr:row>
      <xdr:rowOff>36415</xdr:rowOff>
    </xdr:to>
    <xdr:sp macro="" textlink="">
      <xdr:nvSpPr>
        <xdr:cNvPr id="4" name="Rectangle: Rounded Corners 3">
          <a:extLst>
            <a:ext uri="{FF2B5EF4-FFF2-40B4-BE49-F238E27FC236}">
              <a16:creationId xmlns:a16="http://schemas.microsoft.com/office/drawing/2014/main" id="{E1E7FF78-EA73-4910-BBD7-22A101685E73}"/>
            </a:ext>
          </a:extLst>
        </xdr:cNvPr>
        <xdr:cNvSpPr/>
      </xdr:nvSpPr>
      <xdr:spPr>
        <a:xfrm>
          <a:off x="264574" y="166233"/>
          <a:ext cx="1709857" cy="8760182"/>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579456</xdr:colOff>
      <xdr:row>21</xdr:row>
      <xdr:rowOff>136830</xdr:rowOff>
    </xdr:from>
    <xdr:to>
      <xdr:col>2</xdr:col>
      <xdr:colOff>465156</xdr:colOff>
      <xdr:row>41</xdr:row>
      <xdr:rowOff>68650</xdr:rowOff>
    </xdr:to>
    <xdr:grpSp>
      <xdr:nvGrpSpPr>
        <xdr:cNvPr id="18" name="Group 17">
          <a:extLst>
            <a:ext uri="{FF2B5EF4-FFF2-40B4-BE49-F238E27FC236}">
              <a16:creationId xmlns:a16="http://schemas.microsoft.com/office/drawing/2014/main" id="{C98F5CCF-A9D1-4350-AACC-F68CC410CCC3}"/>
            </a:ext>
          </a:extLst>
        </xdr:cNvPr>
        <xdr:cNvGrpSpPr/>
      </xdr:nvGrpSpPr>
      <xdr:grpSpPr>
        <a:xfrm>
          <a:off x="579456" y="4137330"/>
          <a:ext cx="1028700" cy="3741820"/>
          <a:chOff x="579456" y="3513306"/>
          <a:chExt cx="1099256" cy="3822142"/>
        </a:xfrm>
      </xdr:grpSpPr>
      <mc:AlternateContent xmlns:mc="http://schemas.openxmlformats.org/markup-compatibility/2006" xmlns:a14="http://schemas.microsoft.com/office/drawing/2010/main">
        <mc:Choice Requires="a14">
          <xdr:graphicFrame macro="">
            <xdr:nvGraphicFramePr>
              <xdr:cNvPr id="9" name="Mês 2">
                <a:extLst>
                  <a:ext uri="{FF2B5EF4-FFF2-40B4-BE49-F238E27FC236}">
                    <a16:creationId xmlns:a16="http://schemas.microsoft.com/office/drawing/2014/main" id="{9DE65138-F735-4CAE-B0D4-8C2AA5D174E3}"/>
                  </a:ext>
                </a:extLst>
              </xdr:cNvPr>
              <xdr:cNvGraphicFramePr/>
            </xdr:nvGraphicFramePr>
            <xdr:xfrm>
              <a:off x="596165" y="3602307"/>
              <a:ext cx="1065838" cy="3733141"/>
            </xdr:xfrm>
            <a:graphic>
              <a:graphicData uri="http://schemas.microsoft.com/office/drawing/2010/slicer">
                <sle:slicer xmlns:sle="http://schemas.microsoft.com/office/drawing/2010/slicer" name="Mês 2"/>
              </a:graphicData>
            </a:graphic>
          </xdr:graphicFrame>
        </mc:Choice>
        <mc:Fallback xmlns="">
          <xdr:sp macro="" textlink="">
            <xdr:nvSpPr>
              <xdr:cNvPr id="0" name=""/>
              <xdr:cNvSpPr>
                <a:spLocks noTextEdit="1"/>
              </xdr:cNvSpPr>
            </xdr:nvSpPr>
            <xdr:spPr>
              <a:xfrm>
                <a:off x="596058" y="4224461"/>
                <a:ext cx="1058997" cy="3654689"/>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2" name="Rectangle 11">
            <a:extLst>
              <a:ext uri="{FF2B5EF4-FFF2-40B4-BE49-F238E27FC236}">
                <a16:creationId xmlns:a16="http://schemas.microsoft.com/office/drawing/2014/main" id="{15539293-621F-457C-BC2B-87A11682E6C9}"/>
              </a:ext>
            </a:extLst>
          </xdr:cNvPr>
          <xdr:cNvSpPr/>
        </xdr:nvSpPr>
        <xdr:spPr>
          <a:xfrm>
            <a:off x="579456" y="3513306"/>
            <a:ext cx="1099256" cy="3725824"/>
          </a:xfrm>
          <a:prstGeom prst="rect">
            <a:avLst/>
          </a:prstGeom>
          <a:noFill/>
          <a:ln w="28575">
            <a:solidFill>
              <a:schemeClr val="bg1"/>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1</xdr:col>
      <xdr:colOff>25852</xdr:colOff>
      <xdr:row>42</xdr:row>
      <xdr:rowOff>87551</xdr:rowOff>
    </xdr:from>
    <xdr:to>
      <xdr:col>2</xdr:col>
      <xdr:colOff>406852</xdr:colOff>
      <xdr:row>48</xdr:row>
      <xdr:rowOff>31234</xdr:rowOff>
    </xdr:to>
    <xdr:grpSp>
      <xdr:nvGrpSpPr>
        <xdr:cNvPr id="13" name="Group 12">
          <a:extLst>
            <a:ext uri="{FF2B5EF4-FFF2-40B4-BE49-F238E27FC236}">
              <a16:creationId xmlns:a16="http://schemas.microsoft.com/office/drawing/2014/main" id="{11620CA4-3247-482B-A0A1-2F9B5E14ADAD}"/>
            </a:ext>
          </a:extLst>
        </xdr:cNvPr>
        <xdr:cNvGrpSpPr/>
      </xdr:nvGrpSpPr>
      <xdr:grpSpPr>
        <a:xfrm>
          <a:off x="597352" y="8088551"/>
          <a:ext cx="952500" cy="1086683"/>
          <a:chOff x="635195" y="7506984"/>
          <a:chExt cx="987778" cy="1327903"/>
        </a:xfrm>
      </xdr:grpSpPr>
      <mc:AlternateContent xmlns:mc="http://schemas.openxmlformats.org/markup-compatibility/2006" xmlns:a14="http://schemas.microsoft.com/office/drawing/2010/main">
        <mc:Choice Requires="a14">
          <xdr:graphicFrame macro="">
            <xdr:nvGraphicFramePr>
              <xdr:cNvPr id="10" name="Ano 2">
                <a:extLst>
                  <a:ext uri="{FF2B5EF4-FFF2-40B4-BE49-F238E27FC236}">
                    <a16:creationId xmlns:a16="http://schemas.microsoft.com/office/drawing/2014/main" id="{2A1F4043-C631-4C5B-8D74-D1D81FED9DAD}"/>
                  </a:ext>
                </a:extLst>
              </xdr:cNvPr>
              <xdr:cNvGraphicFramePr/>
            </xdr:nvGraphicFramePr>
            <xdr:xfrm>
              <a:off x="675825" y="7557283"/>
              <a:ext cx="906518" cy="1277604"/>
            </xdr:xfrm>
            <a:graphic>
              <a:graphicData uri="http://schemas.microsoft.com/office/drawing/2010/slicer">
                <sle:slicer xmlns:sle="http://schemas.microsoft.com/office/drawing/2010/slicer" name="Ano 2"/>
              </a:graphicData>
            </a:graphic>
          </xdr:graphicFrame>
        </mc:Choice>
        <mc:Fallback xmlns="">
          <xdr:sp macro="" textlink="">
            <xdr:nvSpPr>
              <xdr:cNvPr id="0" name=""/>
              <xdr:cNvSpPr>
                <a:spLocks noTextEdit="1"/>
              </xdr:cNvSpPr>
            </xdr:nvSpPr>
            <xdr:spPr>
              <a:xfrm>
                <a:off x="669587" y="8129713"/>
                <a:ext cx="903280" cy="104552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4" name="Rectangle 13">
            <a:extLst>
              <a:ext uri="{FF2B5EF4-FFF2-40B4-BE49-F238E27FC236}">
                <a16:creationId xmlns:a16="http://schemas.microsoft.com/office/drawing/2014/main" id="{3B42B71A-A076-46E4-830C-55E8B119C41E}"/>
              </a:ext>
            </a:extLst>
          </xdr:cNvPr>
          <xdr:cNvSpPr/>
        </xdr:nvSpPr>
        <xdr:spPr>
          <a:xfrm>
            <a:off x="635195" y="7506984"/>
            <a:ext cx="987778" cy="1327903"/>
          </a:xfrm>
          <a:prstGeom prst="rect">
            <a:avLst/>
          </a:prstGeom>
          <a:noFill/>
          <a:ln w="28575">
            <a:solidFill>
              <a:schemeClr val="bg1"/>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0</xdr:col>
      <xdr:colOff>509606</xdr:colOff>
      <xdr:row>10</xdr:row>
      <xdr:rowOff>48201</xdr:rowOff>
    </xdr:from>
    <xdr:to>
      <xdr:col>2</xdr:col>
      <xdr:colOff>535006</xdr:colOff>
      <xdr:row>13</xdr:row>
      <xdr:rowOff>111701</xdr:rowOff>
    </xdr:to>
    <xdr:sp macro="[1]!Clear_Filter" textlink="">
      <xdr:nvSpPr>
        <xdr:cNvPr id="17" name="Rectangle: Rounded Corners 16">
          <a:extLst>
            <a:ext uri="{FF2B5EF4-FFF2-40B4-BE49-F238E27FC236}">
              <a16:creationId xmlns:a16="http://schemas.microsoft.com/office/drawing/2014/main" id="{BF935663-EDA2-468C-9FD9-11EE4265D9EE}"/>
            </a:ext>
          </a:extLst>
        </xdr:cNvPr>
        <xdr:cNvSpPr/>
      </xdr:nvSpPr>
      <xdr:spPr>
        <a:xfrm>
          <a:off x="509606" y="1895474"/>
          <a:ext cx="1249218" cy="617682"/>
        </a:xfrm>
        <a:prstGeom prst="roundRect">
          <a:avLst/>
        </a:prstGeom>
        <a:noFill/>
        <a:ln w="28575">
          <a:solidFill>
            <a:schemeClr val="bg1"/>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50" b="1">
              <a:latin typeface="Arial" panose="020B0604020202020204" pitchFamily="34" charset="0"/>
              <a:cs typeface="Arial" panose="020B0604020202020204" pitchFamily="34" charset="0"/>
            </a:rPr>
            <a:t>Limpar Filtros</a:t>
          </a:r>
        </a:p>
      </xdr:txBody>
    </xdr:sp>
    <xdr:clientData/>
  </xdr:twoCellAnchor>
  <xdr:twoCellAnchor>
    <xdr:from>
      <xdr:col>0</xdr:col>
      <xdr:colOff>509606</xdr:colOff>
      <xdr:row>5</xdr:row>
      <xdr:rowOff>124510</xdr:rowOff>
    </xdr:from>
    <xdr:to>
      <xdr:col>2</xdr:col>
      <xdr:colOff>535006</xdr:colOff>
      <xdr:row>8</xdr:row>
      <xdr:rowOff>182237</xdr:rowOff>
    </xdr:to>
    <xdr:sp macro="" textlink="">
      <xdr:nvSpPr>
        <xdr:cNvPr id="19" name="Rectangle: Rounded Corners 18">
          <a:hlinkClick xmlns:r="http://schemas.openxmlformats.org/officeDocument/2006/relationships" r:id="rId1"/>
          <a:extLst>
            <a:ext uri="{FF2B5EF4-FFF2-40B4-BE49-F238E27FC236}">
              <a16:creationId xmlns:a16="http://schemas.microsoft.com/office/drawing/2014/main" id="{07231C8B-4793-491F-8CF3-CAB8DC7A1D21}"/>
            </a:ext>
          </a:extLst>
        </xdr:cNvPr>
        <xdr:cNvSpPr/>
      </xdr:nvSpPr>
      <xdr:spPr>
        <a:xfrm>
          <a:off x="509606" y="1048146"/>
          <a:ext cx="1249218" cy="611909"/>
        </a:xfrm>
        <a:prstGeom prst="roundRect">
          <a:avLst/>
        </a:prstGeom>
        <a:noFill/>
        <a:ln w="28575">
          <a:solidFill>
            <a:schemeClr val="bg1"/>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50" b="1">
              <a:latin typeface="Arial" panose="020B0604020202020204" pitchFamily="34" charset="0"/>
              <a:cs typeface="Arial" panose="020B0604020202020204" pitchFamily="34" charset="0"/>
            </a:rPr>
            <a:t>Inserir Novo Registro</a:t>
          </a:r>
        </a:p>
      </xdr:txBody>
    </xdr:sp>
    <xdr:clientData/>
  </xdr:twoCellAnchor>
  <xdr:twoCellAnchor>
    <xdr:from>
      <xdr:col>0</xdr:col>
      <xdr:colOff>307818</xdr:colOff>
      <xdr:row>1</xdr:row>
      <xdr:rowOff>76199</xdr:rowOff>
    </xdr:from>
    <xdr:to>
      <xdr:col>3</xdr:col>
      <xdr:colOff>130018</xdr:colOff>
      <xdr:row>4</xdr:row>
      <xdr:rowOff>177799</xdr:rowOff>
    </xdr:to>
    <xdr:sp macro="" textlink="">
      <xdr:nvSpPr>
        <xdr:cNvPr id="21" name="TextBox 20">
          <a:extLst>
            <a:ext uri="{FF2B5EF4-FFF2-40B4-BE49-F238E27FC236}">
              <a16:creationId xmlns:a16="http://schemas.microsoft.com/office/drawing/2014/main" id="{35A4EEC8-1C95-42FD-AA78-CC14DE13B363}"/>
            </a:ext>
          </a:extLst>
        </xdr:cNvPr>
        <xdr:cNvSpPr txBox="1"/>
      </xdr:nvSpPr>
      <xdr:spPr>
        <a:xfrm>
          <a:off x="307818" y="263813"/>
          <a:ext cx="1640609" cy="664441"/>
        </a:xfrm>
        <a:prstGeom prst="rect">
          <a:avLst/>
        </a:prstGeom>
        <a:solidFill>
          <a:srgbClr val="319B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bg1"/>
              </a:solidFill>
              <a:latin typeface="Arial" panose="020B0604020202020204" pitchFamily="34" charset="0"/>
              <a:cs typeface="Arial" panose="020B0604020202020204" pitchFamily="34" charset="0"/>
            </a:rPr>
            <a:t>Análise de Valores</a:t>
          </a:r>
        </a:p>
      </xdr:txBody>
    </xdr:sp>
    <xdr:clientData/>
  </xdr:twoCellAnchor>
  <xdr:twoCellAnchor>
    <xdr:from>
      <xdr:col>3</xdr:col>
      <xdr:colOff>546449</xdr:colOff>
      <xdr:row>29</xdr:row>
      <xdr:rowOff>82595</xdr:rowOff>
    </xdr:from>
    <xdr:to>
      <xdr:col>37</xdr:col>
      <xdr:colOff>222249</xdr:colOff>
      <xdr:row>48</xdr:row>
      <xdr:rowOff>151610</xdr:rowOff>
    </xdr:to>
    <xdr:sp macro="" textlink="">
      <xdr:nvSpPr>
        <xdr:cNvPr id="32" name="Rectangle: Rounded Corners 31">
          <a:extLst>
            <a:ext uri="{FF2B5EF4-FFF2-40B4-BE49-F238E27FC236}">
              <a16:creationId xmlns:a16="http://schemas.microsoft.com/office/drawing/2014/main" id="{93E81EBA-7CAE-489A-AF48-C4F7B399688D}"/>
            </a:ext>
          </a:extLst>
        </xdr:cNvPr>
        <xdr:cNvSpPr/>
      </xdr:nvSpPr>
      <xdr:spPr>
        <a:xfrm rot="5400000">
          <a:off x="10605091" y="-2641797"/>
          <a:ext cx="3688515" cy="20186300"/>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572873</xdr:colOff>
      <xdr:row>8</xdr:row>
      <xdr:rowOff>116851</xdr:rowOff>
    </xdr:from>
    <xdr:to>
      <xdr:col>13</xdr:col>
      <xdr:colOff>42332</xdr:colOff>
      <xdr:row>27</xdr:row>
      <xdr:rowOff>133963</xdr:rowOff>
    </xdr:to>
    <xdr:sp macro="" textlink="">
      <xdr:nvSpPr>
        <xdr:cNvPr id="34" name="Rectangle: Rounded Corners 33">
          <a:extLst>
            <a:ext uri="{FF2B5EF4-FFF2-40B4-BE49-F238E27FC236}">
              <a16:creationId xmlns:a16="http://schemas.microsoft.com/office/drawing/2014/main" id="{DE632D5B-A788-48BB-BD40-71BC566A68B5}"/>
            </a:ext>
          </a:extLst>
        </xdr:cNvPr>
        <xdr:cNvSpPr/>
      </xdr:nvSpPr>
      <xdr:spPr>
        <a:xfrm rot="5400000">
          <a:off x="3410547" y="567066"/>
          <a:ext cx="3502556" cy="5537237"/>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24</xdr:col>
      <xdr:colOff>236388</xdr:colOff>
      <xdr:row>0</xdr:row>
      <xdr:rowOff>130957</xdr:rowOff>
    </xdr:from>
    <xdr:to>
      <xdr:col>30</xdr:col>
      <xdr:colOff>440570</xdr:colOff>
      <xdr:row>7</xdr:row>
      <xdr:rowOff>143180</xdr:rowOff>
    </xdr:to>
    <xdr:grpSp>
      <xdr:nvGrpSpPr>
        <xdr:cNvPr id="15" name="Group 14">
          <a:extLst>
            <a:ext uri="{FF2B5EF4-FFF2-40B4-BE49-F238E27FC236}">
              <a16:creationId xmlns:a16="http://schemas.microsoft.com/office/drawing/2014/main" id="{92B8CDDA-3210-4184-A225-32170633E52B}"/>
            </a:ext>
          </a:extLst>
        </xdr:cNvPr>
        <xdr:cNvGrpSpPr/>
      </xdr:nvGrpSpPr>
      <xdr:grpSpPr>
        <a:xfrm>
          <a:off x="13952388" y="130957"/>
          <a:ext cx="3633182" cy="1345723"/>
          <a:chOff x="14629684" y="162707"/>
          <a:chExt cx="3823682" cy="1345723"/>
        </a:xfrm>
      </xdr:grpSpPr>
      <xdr:sp macro="" textlink="">
        <xdr:nvSpPr>
          <xdr:cNvPr id="7" name="Rectangle: Rounded Corners 6">
            <a:extLst>
              <a:ext uri="{FF2B5EF4-FFF2-40B4-BE49-F238E27FC236}">
                <a16:creationId xmlns:a16="http://schemas.microsoft.com/office/drawing/2014/main" id="{701F42CD-01C0-4B9E-929E-6662C54FDFC9}"/>
              </a:ext>
            </a:extLst>
          </xdr:cNvPr>
          <xdr:cNvSpPr/>
        </xdr:nvSpPr>
        <xdr:spPr>
          <a:xfrm rot="5400000">
            <a:off x="15863837" y="-1071446"/>
            <a:ext cx="1258128" cy="3726433"/>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3" name="Group 32">
            <a:extLst>
              <a:ext uri="{FF2B5EF4-FFF2-40B4-BE49-F238E27FC236}">
                <a16:creationId xmlns:a16="http://schemas.microsoft.com/office/drawing/2014/main" id="{10CDB228-41AF-472D-B1EE-4A65BD2351B9}"/>
              </a:ext>
            </a:extLst>
          </xdr:cNvPr>
          <xdr:cNvGrpSpPr/>
        </xdr:nvGrpSpPr>
        <xdr:grpSpPr>
          <a:xfrm>
            <a:off x="14759344" y="304542"/>
            <a:ext cx="950427" cy="981160"/>
            <a:chOff x="10841857" y="316555"/>
            <a:chExt cx="957483" cy="945883"/>
          </a:xfrm>
        </xdr:grpSpPr>
        <xdr:sp macro="" textlink="">
          <xdr:nvSpPr>
            <xdr:cNvPr id="24" name="Oval 23">
              <a:extLst>
                <a:ext uri="{FF2B5EF4-FFF2-40B4-BE49-F238E27FC236}">
                  <a16:creationId xmlns:a16="http://schemas.microsoft.com/office/drawing/2014/main" id="{F3F84C01-685D-445E-ABEC-E6D9BF148950}"/>
                </a:ext>
              </a:extLst>
            </xdr:cNvPr>
            <xdr:cNvSpPr/>
          </xdr:nvSpPr>
          <xdr:spPr>
            <a:xfrm>
              <a:off x="10848998" y="316555"/>
              <a:ext cx="943200" cy="896400"/>
            </a:xfrm>
            <a:prstGeom prst="ellipse">
              <a:avLst/>
            </a:prstGeom>
            <a:solidFill>
              <a:srgbClr val="23BF44"/>
            </a:solidFill>
            <a:ln>
              <a:solidFill>
                <a:srgbClr val="23BF4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30" name="Graphic 29" descr="Gears with solid fill">
              <a:extLst>
                <a:ext uri="{FF2B5EF4-FFF2-40B4-BE49-F238E27FC236}">
                  <a16:creationId xmlns:a16="http://schemas.microsoft.com/office/drawing/2014/main" id="{701199B2-A43C-4C0B-B5F3-1CB88461AB2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841857" y="338667"/>
              <a:ext cx="957483" cy="923771"/>
            </a:xfrm>
            <a:prstGeom prst="rect">
              <a:avLst/>
            </a:prstGeom>
          </xdr:spPr>
        </xdr:pic>
      </xdr:grpSp>
      <xdr:sp macro="" textlink="Dados!F3">
        <xdr:nvSpPr>
          <xdr:cNvPr id="49" name="TextBox 48">
            <a:extLst>
              <a:ext uri="{FF2B5EF4-FFF2-40B4-BE49-F238E27FC236}">
                <a16:creationId xmlns:a16="http://schemas.microsoft.com/office/drawing/2014/main" id="{0C9A5976-8266-4265-886C-9A1BA5DD33F6}"/>
              </a:ext>
            </a:extLst>
          </xdr:cNvPr>
          <xdr:cNvSpPr txBox="1"/>
        </xdr:nvSpPr>
        <xdr:spPr>
          <a:xfrm>
            <a:off x="15395380" y="461758"/>
            <a:ext cx="2963874"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F3E58F-5F6B-4FAC-8A4B-A8E5E8A6F9B2}" type="TxLink">
              <a:rPr lang="en-US" sz="2800" b="1" i="0" u="none" strike="noStrike">
                <a:solidFill>
                  <a:schemeClr val="bg1"/>
                </a:solidFill>
                <a:latin typeface="Arial" panose="020B0604020202020204" pitchFamily="34" charset="0"/>
                <a:cs typeface="Arial" panose="020B0604020202020204" pitchFamily="34" charset="0"/>
              </a:rPr>
              <a:pPr algn="ctr"/>
              <a:t>10965</a:t>
            </a:fld>
            <a:endParaRPr lang="pt-BR" sz="2800" b="1">
              <a:solidFill>
                <a:schemeClr val="bg1"/>
              </a:solidFill>
              <a:latin typeface="Arial" panose="020B0604020202020204" pitchFamily="34" charset="0"/>
              <a:cs typeface="Arial" panose="020B0604020202020204" pitchFamily="34" charset="0"/>
            </a:endParaRPr>
          </a:p>
        </xdr:txBody>
      </xdr:sp>
      <xdr:graphicFrame macro="">
        <xdr:nvGraphicFramePr>
          <xdr:cNvPr id="38" name="Chart 37">
            <a:extLst>
              <a:ext uri="{FF2B5EF4-FFF2-40B4-BE49-F238E27FC236}">
                <a16:creationId xmlns:a16="http://schemas.microsoft.com/office/drawing/2014/main" id="{EBA02898-FA44-4628-8238-3BBFAD58F33B}"/>
              </a:ext>
            </a:extLst>
          </xdr:cNvPr>
          <xdr:cNvGraphicFramePr>
            <a:graphicFrameLocks/>
          </xdr:cNvGraphicFramePr>
        </xdr:nvGraphicFramePr>
        <xdr:xfrm>
          <a:off x="15519005" y="847616"/>
          <a:ext cx="2934361" cy="66081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28</xdr:col>
      <xdr:colOff>477984</xdr:colOff>
      <xdr:row>29</xdr:row>
      <xdr:rowOff>119239</xdr:rowOff>
    </xdr:from>
    <xdr:to>
      <xdr:col>37</xdr:col>
      <xdr:colOff>326320</xdr:colOff>
      <xdr:row>32</xdr:row>
      <xdr:rowOff>141111</xdr:rowOff>
    </xdr:to>
    <xdr:sp macro="" textlink="">
      <xdr:nvSpPr>
        <xdr:cNvPr id="51" name="TextBox 50">
          <a:extLst>
            <a:ext uri="{FF2B5EF4-FFF2-40B4-BE49-F238E27FC236}">
              <a16:creationId xmlns:a16="http://schemas.microsoft.com/office/drawing/2014/main" id="{BF8A9EC3-C36E-450B-BD72-566CFBC07412}"/>
            </a:ext>
          </a:extLst>
        </xdr:cNvPr>
        <xdr:cNvSpPr txBox="1"/>
      </xdr:nvSpPr>
      <xdr:spPr>
        <a:xfrm>
          <a:off x="17368984" y="5643739"/>
          <a:ext cx="5277586" cy="593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i="0" u="none" strike="noStrike">
              <a:solidFill>
                <a:schemeClr val="bg1"/>
              </a:solidFill>
              <a:latin typeface="Arial" panose="020B0604020202020204" pitchFamily="34" charset="0"/>
              <a:cs typeface="Arial" panose="020B0604020202020204" pitchFamily="34" charset="0"/>
            </a:rPr>
            <a:t>Faturamento e Impacto (Mensal)</a:t>
          </a:r>
        </a:p>
      </xdr:txBody>
    </xdr:sp>
    <xdr:clientData/>
  </xdr:twoCellAnchor>
  <xdr:twoCellAnchor>
    <xdr:from>
      <xdr:col>25</xdr:col>
      <xdr:colOff>111125</xdr:colOff>
      <xdr:row>8</xdr:row>
      <xdr:rowOff>116850</xdr:rowOff>
    </xdr:from>
    <xdr:to>
      <xdr:col>37</xdr:col>
      <xdr:colOff>222253</xdr:colOff>
      <xdr:row>27</xdr:row>
      <xdr:rowOff>133962</xdr:rowOff>
    </xdr:to>
    <xdr:sp macro="" textlink="">
      <xdr:nvSpPr>
        <xdr:cNvPr id="56" name="Rectangle: Rounded Corners 55">
          <a:extLst>
            <a:ext uri="{FF2B5EF4-FFF2-40B4-BE49-F238E27FC236}">
              <a16:creationId xmlns:a16="http://schemas.microsoft.com/office/drawing/2014/main" id="{94BDAA43-C54A-4C04-B61B-9A4D74CE0F46}"/>
            </a:ext>
          </a:extLst>
        </xdr:cNvPr>
        <xdr:cNvSpPr/>
      </xdr:nvSpPr>
      <xdr:spPr>
        <a:xfrm rot="5400000">
          <a:off x="17049133" y="-215908"/>
          <a:ext cx="3636612" cy="7350128"/>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200"/>
        </a:p>
      </xdr:txBody>
    </xdr:sp>
    <xdr:clientData/>
  </xdr:twoCellAnchor>
  <xdr:twoCellAnchor>
    <xdr:from>
      <xdr:col>0</xdr:col>
      <xdr:colOff>466907</xdr:colOff>
      <xdr:row>14</xdr:row>
      <xdr:rowOff>162393</xdr:rowOff>
    </xdr:from>
    <xdr:to>
      <xdr:col>2</xdr:col>
      <xdr:colOff>577705</xdr:colOff>
      <xdr:row>20</xdr:row>
      <xdr:rowOff>117929</xdr:rowOff>
    </xdr:to>
    <xdr:grpSp>
      <xdr:nvGrpSpPr>
        <xdr:cNvPr id="20" name="Group 19">
          <a:extLst>
            <a:ext uri="{FF2B5EF4-FFF2-40B4-BE49-F238E27FC236}">
              <a16:creationId xmlns:a16="http://schemas.microsoft.com/office/drawing/2014/main" id="{29C2A606-F510-4CC8-A725-BB880F57C343}"/>
            </a:ext>
          </a:extLst>
        </xdr:cNvPr>
        <xdr:cNvGrpSpPr/>
      </xdr:nvGrpSpPr>
      <xdr:grpSpPr>
        <a:xfrm>
          <a:off x="466907" y="2829393"/>
          <a:ext cx="1253798" cy="1098536"/>
          <a:chOff x="466907" y="2631083"/>
          <a:chExt cx="1324354" cy="710687"/>
        </a:xfrm>
      </xdr:grpSpPr>
      <mc:AlternateContent xmlns:mc="http://schemas.openxmlformats.org/markup-compatibility/2006" xmlns:a14="http://schemas.microsoft.com/office/drawing/2010/main">
        <mc:Choice Requires="a14">
          <xdr:graphicFrame macro="">
            <xdr:nvGraphicFramePr>
              <xdr:cNvPr id="58" name="Reposição/Cobrar 1">
                <a:extLst>
                  <a:ext uri="{FF2B5EF4-FFF2-40B4-BE49-F238E27FC236}">
                    <a16:creationId xmlns:a16="http://schemas.microsoft.com/office/drawing/2014/main" id="{F8DF47A6-9978-4F8F-9E4B-97430A915D97}"/>
                  </a:ext>
                </a:extLst>
              </xdr:cNvPr>
              <xdr:cNvGraphicFramePr/>
            </xdr:nvGraphicFramePr>
            <xdr:xfrm>
              <a:off x="482432" y="2649275"/>
              <a:ext cx="1293303" cy="692495"/>
            </xdr:xfrm>
            <a:graphic>
              <a:graphicData uri="http://schemas.microsoft.com/office/drawing/2010/slicer">
                <sle:slicer xmlns:sle="http://schemas.microsoft.com/office/drawing/2010/slicer" name="Reposição/Cobrar 1"/>
              </a:graphicData>
            </a:graphic>
          </xdr:graphicFrame>
        </mc:Choice>
        <mc:Fallback xmlns="">
          <xdr:sp macro="" textlink="">
            <xdr:nvSpPr>
              <xdr:cNvPr id="0" name=""/>
              <xdr:cNvSpPr>
                <a:spLocks noTextEdit="1"/>
              </xdr:cNvSpPr>
            </xdr:nvSpPr>
            <xdr:spPr>
              <a:xfrm>
                <a:off x="482349" y="2857513"/>
                <a:ext cx="1286412" cy="107041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59" name="Rectangle 58">
            <a:extLst>
              <a:ext uri="{FF2B5EF4-FFF2-40B4-BE49-F238E27FC236}">
                <a16:creationId xmlns:a16="http://schemas.microsoft.com/office/drawing/2014/main" id="{31EA51EE-CB5E-42A1-B293-0F004175B0B9}"/>
              </a:ext>
            </a:extLst>
          </xdr:cNvPr>
          <xdr:cNvSpPr/>
        </xdr:nvSpPr>
        <xdr:spPr>
          <a:xfrm>
            <a:off x="466907" y="2631083"/>
            <a:ext cx="1324354" cy="697795"/>
          </a:xfrm>
          <a:prstGeom prst="rect">
            <a:avLst/>
          </a:prstGeom>
          <a:noFill/>
          <a:ln w="28575">
            <a:solidFill>
              <a:schemeClr val="bg1"/>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3</xdr:col>
      <xdr:colOff>522111</xdr:colOff>
      <xdr:row>31</xdr:row>
      <xdr:rowOff>84667</xdr:rowOff>
    </xdr:from>
    <xdr:to>
      <xdr:col>37</xdr:col>
      <xdr:colOff>222250</xdr:colOff>
      <xdr:row>48</xdr:row>
      <xdr:rowOff>112890</xdr:rowOff>
    </xdr:to>
    <xdr:graphicFrame macro="">
      <xdr:nvGraphicFramePr>
        <xdr:cNvPr id="50" name="Chart 49">
          <a:extLst>
            <a:ext uri="{FF2B5EF4-FFF2-40B4-BE49-F238E27FC236}">
              <a16:creationId xmlns:a16="http://schemas.microsoft.com/office/drawing/2014/main" id="{1C303292-B707-4BD8-91D0-250EDBAB0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206376</xdr:colOff>
      <xdr:row>10</xdr:row>
      <xdr:rowOff>94929</xdr:rowOff>
    </xdr:from>
    <xdr:to>
      <xdr:col>37</xdr:col>
      <xdr:colOff>183340</xdr:colOff>
      <xdr:row>27</xdr:row>
      <xdr:rowOff>169333</xdr:rowOff>
    </xdr:to>
    <xdr:graphicFrame macro="">
      <xdr:nvGraphicFramePr>
        <xdr:cNvPr id="53" name="Chart 52">
          <a:extLst>
            <a:ext uri="{FF2B5EF4-FFF2-40B4-BE49-F238E27FC236}">
              <a16:creationId xmlns:a16="http://schemas.microsoft.com/office/drawing/2014/main" id="{7D12E80C-2485-4561-897D-D6C5E2FF0D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578555</xdr:colOff>
      <xdr:row>10</xdr:row>
      <xdr:rowOff>155223</xdr:rowOff>
    </xdr:from>
    <xdr:to>
      <xdr:col>13</xdr:col>
      <xdr:colOff>112888</xdr:colOff>
      <xdr:row>27</xdr:row>
      <xdr:rowOff>112888</xdr:rowOff>
    </xdr:to>
    <xdr:graphicFrame macro="">
      <xdr:nvGraphicFramePr>
        <xdr:cNvPr id="55" name="Chart 54">
          <a:extLst>
            <a:ext uri="{FF2B5EF4-FFF2-40B4-BE49-F238E27FC236}">
              <a16:creationId xmlns:a16="http://schemas.microsoft.com/office/drawing/2014/main" id="{D824BDAC-456A-47A2-BF92-D9A765793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449362</xdr:colOff>
      <xdr:row>8</xdr:row>
      <xdr:rowOff>116850</xdr:rowOff>
    </xdr:from>
    <xdr:to>
      <xdr:col>24</xdr:col>
      <xdr:colOff>285750</xdr:colOff>
      <xdr:row>27</xdr:row>
      <xdr:rowOff>133962</xdr:rowOff>
    </xdr:to>
    <xdr:sp macro="" textlink="">
      <xdr:nvSpPr>
        <xdr:cNvPr id="61" name="Rectangle: Rounded Corners 60">
          <a:extLst>
            <a:ext uri="{FF2B5EF4-FFF2-40B4-BE49-F238E27FC236}">
              <a16:creationId xmlns:a16="http://schemas.microsoft.com/office/drawing/2014/main" id="{EDB2C6F4-31F8-40F1-A178-96FE872AC160}"/>
            </a:ext>
          </a:extLst>
        </xdr:cNvPr>
        <xdr:cNvSpPr/>
      </xdr:nvSpPr>
      <xdr:spPr>
        <a:xfrm rot="5400000">
          <a:off x="9709375" y="223087"/>
          <a:ext cx="3636612" cy="6472138"/>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13</xdr:col>
      <xdr:colOff>498728</xdr:colOff>
      <xdr:row>8</xdr:row>
      <xdr:rowOff>102304</xdr:rowOff>
    </xdr:from>
    <xdr:to>
      <xdr:col>24</xdr:col>
      <xdr:colOff>193361</xdr:colOff>
      <xdr:row>11</xdr:row>
      <xdr:rowOff>115004</xdr:rowOff>
    </xdr:to>
    <xdr:sp macro="" textlink="">
      <xdr:nvSpPr>
        <xdr:cNvPr id="54" name="TextBox 53">
          <a:extLst>
            <a:ext uri="{FF2B5EF4-FFF2-40B4-BE49-F238E27FC236}">
              <a16:creationId xmlns:a16="http://schemas.microsoft.com/office/drawing/2014/main" id="{B216804D-CAAB-46F4-A3A4-B13DB4136000}"/>
            </a:ext>
          </a:extLst>
        </xdr:cNvPr>
        <xdr:cNvSpPr txBox="1"/>
      </xdr:nvSpPr>
      <xdr:spPr>
        <a:xfrm>
          <a:off x="8340978" y="1626304"/>
          <a:ext cx="6330383"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1"/>
              </a:solidFill>
              <a:latin typeface="Arial" panose="020B0604020202020204" pitchFamily="34" charset="0"/>
              <a:cs typeface="Arial" panose="020B0604020202020204" pitchFamily="34" charset="0"/>
            </a:rPr>
            <a:t>Cantoneiras</a:t>
          </a:r>
          <a:r>
            <a:rPr lang="en-US" sz="2000" b="1" i="0" u="none" strike="noStrike" baseline="0">
              <a:solidFill>
                <a:schemeClr val="bg1"/>
              </a:solidFill>
              <a:latin typeface="Arial" panose="020B0604020202020204" pitchFamily="34" charset="0"/>
              <a:cs typeface="Arial" panose="020B0604020202020204" pitchFamily="34" charset="0"/>
            </a:rPr>
            <a:t> Adquiridas</a:t>
          </a:r>
          <a:endParaRPr lang="en-US" sz="2000" b="1" i="0" u="none" strike="noStrike">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428625</xdr:colOff>
      <xdr:row>10</xdr:row>
      <xdr:rowOff>126999</xdr:rowOff>
    </xdr:from>
    <xdr:to>
      <xdr:col>24</xdr:col>
      <xdr:colOff>127818</xdr:colOff>
      <xdr:row>27</xdr:row>
      <xdr:rowOff>169332</xdr:rowOff>
    </xdr:to>
    <xdr:graphicFrame macro="">
      <xdr:nvGraphicFramePr>
        <xdr:cNvPr id="52" name="Chart 51">
          <a:extLst>
            <a:ext uri="{FF2B5EF4-FFF2-40B4-BE49-F238E27FC236}">
              <a16:creationId xmlns:a16="http://schemas.microsoft.com/office/drawing/2014/main" id="{3EB3B1B6-C55C-4E60-BDD5-005DBDC189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333582</xdr:colOff>
      <xdr:row>8</xdr:row>
      <xdr:rowOff>99482</xdr:rowOff>
    </xdr:from>
    <xdr:to>
      <xdr:col>36</xdr:col>
      <xdr:colOff>176447</xdr:colOff>
      <xdr:row>11</xdr:row>
      <xdr:rowOff>112182</xdr:rowOff>
    </xdr:to>
    <xdr:sp macro="" textlink="">
      <xdr:nvSpPr>
        <xdr:cNvPr id="62" name="TextBox 61">
          <a:extLst>
            <a:ext uri="{FF2B5EF4-FFF2-40B4-BE49-F238E27FC236}">
              <a16:creationId xmlns:a16="http://schemas.microsoft.com/office/drawing/2014/main" id="{1FD976E3-9B70-46A9-AEEF-CF2EDD9A570E}"/>
            </a:ext>
          </a:extLst>
        </xdr:cNvPr>
        <xdr:cNvSpPr txBox="1"/>
      </xdr:nvSpPr>
      <xdr:spPr>
        <a:xfrm>
          <a:off x="16018082" y="1623482"/>
          <a:ext cx="5875365"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1"/>
              </a:solidFill>
              <a:latin typeface="Arial" panose="020B0604020202020204" pitchFamily="34" charset="0"/>
              <a:cs typeface="Arial" panose="020B0604020202020204" pitchFamily="34" charset="0"/>
            </a:rPr>
            <a:t>Valores</a:t>
          </a:r>
          <a:r>
            <a:rPr lang="en-US" sz="2000" b="1" i="0" u="none" strike="noStrike" baseline="0">
              <a:solidFill>
                <a:schemeClr val="bg1"/>
              </a:solidFill>
              <a:latin typeface="Arial" panose="020B0604020202020204" pitchFamily="34" charset="0"/>
              <a:cs typeface="Arial" panose="020B0604020202020204" pitchFamily="34" charset="0"/>
            </a:rPr>
            <a:t> Adquiridos</a:t>
          </a:r>
          <a:endParaRPr lang="en-US" sz="2000" b="1" i="0" u="none" strike="noStrike">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516080</xdr:colOff>
      <xdr:row>8</xdr:row>
      <xdr:rowOff>85371</xdr:rowOff>
    </xdr:from>
    <xdr:to>
      <xdr:col>12</xdr:col>
      <xdr:colOff>99127</xdr:colOff>
      <xdr:row>11</xdr:row>
      <xdr:rowOff>98071</xdr:rowOff>
    </xdr:to>
    <xdr:sp macro="" textlink="">
      <xdr:nvSpPr>
        <xdr:cNvPr id="63" name="TextBox 62">
          <a:extLst>
            <a:ext uri="{FF2B5EF4-FFF2-40B4-BE49-F238E27FC236}">
              <a16:creationId xmlns:a16="http://schemas.microsoft.com/office/drawing/2014/main" id="{5ECE52F9-68B7-46C3-85E2-C8FE18E03687}"/>
            </a:ext>
          </a:extLst>
        </xdr:cNvPr>
        <xdr:cNvSpPr txBox="1"/>
      </xdr:nvSpPr>
      <xdr:spPr>
        <a:xfrm>
          <a:off x="2943191" y="1552927"/>
          <a:ext cx="4437269" cy="563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1"/>
              </a:solidFill>
              <a:latin typeface="Arial" panose="020B0604020202020204" pitchFamily="34" charset="0"/>
              <a:cs typeface="Arial" panose="020B0604020202020204" pitchFamily="34" charset="0"/>
            </a:rPr>
            <a:t>Conferentes</a:t>
          </a:r>
        </a:p>
      </xdr:txBody>
    </xdr:sp>
    <xdr:clientData/>
  </xdr:twoCellAnchor>
  <xdr:twoCellAnchor>
    <xdr:from>
      <xdr:col>10</xdr:col>
      <xdr:colOff>442306</xdr:colOff>
      <xdr:row>0</xdr:row>
      <xdr:rowOff>43328</xdr:rowOff>
    </xdr:from>
    <xdr:to>
      <xdr:col>17</xdr:col>
      <xdr:colOff>242766</xdr:colOff>
      <xdr:row>7</xdr:row>
      <xdr:rowOff>158048</xdr:rowOff>
    </xdr:to>
    <xdr:grpSp>
      <xdr:nvGrpSpPr>
        <xdr:cNvPr id="8" name="Group 7">
          <a:extLst>
            <a:ext uri="{FF2B5EF4-FFF2-40B4-BE49-F238E27FC236}">
              <a16:creationId xmlns:a16="http://schemas.microsoft.com/office/drawing/2014/main" id="{AFD52723-6F51-4055-AF36-5E0056D4A410}"/>
            </a:ext>
          </a:extLst>
        </xdr:cNvPr>
        <xdr:cNvGrpSpPr/>
      </xdr:nvGrpSpPr>
      <xdr:grpSpPr>
        <a:xfrm>
          <a:off x="6157306" y="43328"/>
          <a:ext cx="3800960" cy="1448220"/>
          <a:chOff x="6481339" y="59203"/>
          <a:chExt cx="4023210" cy="1448220"/>
        </a:xfrm>
      </xdr:grpSpPr>
      <xdr:sp macro="" textlink="">
        <xdr:nvSpPr>
          <xdr:cNvPr id="64" name="Rectangle: Rounded Corners 63">
            <a:extLst>
              <a:ext uri="{FF2B5EF4-FFF2-40B4-BE49-F238E27FC236}">
                <a16:creationId xmlns:a16="http://schemas.microsoft.com/office/drawing/2014/main" id="{EBC74816-DD1B-4329-B50B-16AEA6384BBB}"/>
              </a:ext>
            </a:extLst>
          </xdr:cNvPr>
          <xdr:cNvSpPr/>
        </xdr:nvSpPr>
        <xdr:spPr>
          <a:xfrm rot="5400000">
            <a:off x="7715492" y="-1071446"/>
            <a:ext cx="1258128" cy="3726434"/>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5" name="Oval 24">
            <a:extLst>
              <a:ext uri="{FF2B5EF4-FFF2-40B4-BE49-F238E27FC236}">
                <a16:creationId xmlns:a16="http://schemas.microsoft.com/office/drawing/2014/main" id="{2E89894E-C05C-423A-8F38-37F5CCCA6FBA}"/>
              </a:ext>
            </a:extLst>
          </xdr:cNvPr>
          <xdr:cNvSpPr/>
        </xdr:nvSpPr>
        <xdr:spPr>
          <a:xfrm>
            <a:off x="6622251" y="329283"/>
            <a:ext cx="936145" cy="931677"/>
          </a:xfrm>
          <a:prstGeom prst="ellipse">
            <a:avLst/>
          </a:prstGeom>
          <a:solidFill>
            <a:srgbClr val="4AD7E6"/>
          </a:solidFill>
          <a:ln>
            <a:solidFill>
              <a:srgbClr val="4AD7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6600" b="1">
                <a:solidFill>
                  <a:schemeClr val="bg1"/>
                </a:solidFill>
                <a:latin typeface="72 Black" panose="020B0A04030603020204" pitchFamily="34" charset="0"/>
                <a:cs typeface="72 Black" panose="020B0A04030603020204" pitchFamily="34" charset="0"/>
              </a:rPr>
              <a:t>R</a:t>
            </a:r>
            <a:endParaRPr lang="pt-BR" sz="1400" b="1">
              <a:solidFill>
                <a:schemeClr val="bg1"/>
              </a:solidFill>
              <a:latin typeface="72 Black" panose="020B0A04030603020204" pitchFamily="34" charset="0"/>
              <a:cs typeface="72 Black" panose="020B0A04030603020204" pitchFamily="34" charset="0"/>
            </a:endParaRPr>
          </a:p>
        </xdr:txBody>
      </xdr:sp>
      <xdr:graphicFrame macro="">
        <xdr:nvGraphicFramePr>
          <xdr:cNvPr id="42" name="Chart 41">
            <a:extLst>
              <a:ext uri="{FF2B5EF4-FFF2-40B4-BE49-F238E27FC236}">
                <a16:creationId xmlns:a16="http://schemas.microsoft.com/office/drawing/2014/main" id="{38C54820-3DCE-4FAC-8343-3E435BE6CF53}"/>
              </a:ext>
            </a:extLst>
          </xdr:cNvPr>
          <xdr:cNvGraphicFramePr>
            <a:graphicFrameLocks/>
          </xdr:cNvGraphicFramePr>
        </xdr:nvGraphicFramePr>
        <xdr:xfrm>
          <a:off x="7365962" y="848623"/>
          <a:ext cx="2934361" cy="658800"/>
        </xdr:xfrm>
        <a:graphic>
          <a:graphicData uri="http://schemas.openxmlformats.org/drawingml/2006/chart">
            <c:chart xmlns:c="http://schemas.openxmlformats.org/drawingml/2006/chart" xmlns:r="http://schemas.openxmlformats.org/officeDocument/2006/relationships" r:id="rId9"/>
          </a:graphicData>
        </a:graphic>
      </xdr:graphicFrame>
      <xdr:sp macro="" textlink="Dados!N4">
        <xdr:nvSpPr>
          <xdr:cNvPr id="45" name="TextBox 44">
            <a:extLst>
              <a:ext uri="{FF2B5EF4-FFF2-40B4-BE49-F238E27FC236}">
                <a16:creationId xmlns:a16="http://schemas.microsoft.com/office/drawing/2014/main" id="{CAF8E4BE-8731-4EE5-A247-87013F8A4E04}"/>
              </a:ext>
            </a:extLst>
          </xdr:cNvPr>
          <xdr:cNvSpPr txBox="1"/>
        </xdr:nvSpPr>
        <xdr:spPr>
          <a:xfrm>
            <a:off x="7336339" y="461758"/>
            <a:ext cx="2797763"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04E26B-AAED-46D2-8C7A-83070C809319}" type="TxLink">
              <a:rPr lang="en-US" sz="2800" b="1" i="0" u="none" strike="noStrike">
                <a:solidFill>
                  <a:schemeClr val="bg1"/>
                </a:solidFill>
                <a:latin typeface="Arial" panose="020B0604020202020204" pitchFamily="34" charset="0"/>
                <a:cs typeface="Arial" panose="020B0604020202020204" pitchFamily="34" charset="0"/>
              </a:rPr>
              <a:pPr algn="ctr"/>
              <a:t> R$54.736,08 </a:t>
            </a:fld>
            <a:endParaRPr lang="pt-BR" sz="2800" b="1">
              <a:solidFill>
                <a:schemeClr val="bg1"/>
              </a:solidFill>
              <a:latin typeface="Arial" panose="020B0604020202020204" pitchFamily="34" charset="0"/>
              <a:cs typeface="Arial" panose="020B0604020202020204" pitchFamily="34" charset="0"/>
            </a:endParaRPr>
          </a:p>
        </xdr:txBody>
      </xdr:sp>
      <xdr:sp macro="" textlink="Dados!B3">
        <xdr:nvSpPr>
          <xdr:cNvPr id="46" name="TextBox 45">
            <a:extLst>
              <a:ext uri="{FF2B5EF4-FFF2-40B4-BE49-F238E27FC236}">
                <a16:creationId xmlns:a16="http://schemas.microsoft.com/office/drawing/2014/main" id="{4D150368-655A-4983-9F8C-7D852E63CE3F}"/>
              </a:ext>
            </a:extLst>
          </xdr:cNvPr>
          <xdr:cNvSpPr txBox="1"/>
        </xdr:nvSpPr>
        <xdr:spPr>
          <a:xfrm>
            <a:off x="8994649" y="59203"/>
            <a:ext cx="150990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87A2D5-A348-4237-9C44-8751DE90DD0D}" type="TxLink">
              <a:rPr lang="en-US" sz="2400" b="1" i="0" u="none" strike="noStrike">
                <a:solidFill>
                  <a:schemeClr val="bg1"/>
                </a:solidFill>
                <a:latin typeface="Arial" panose="020B0604020202020204" pitchFamily="34" charset="0"/>
                <a:cs typeface="Arial" panose="020B0604020202020204" pitchFamily="34" charset="0"/>
              </a:rPr>
              <a:pPr algn="ctr"/>
              <a:t>4435</a:t>
            </a:fld>
            <a:endParaRPr lang="pt-BR" sz="12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603120</xdr:colOff>
      <xdr:row>0</xdr:row>
      <xdr:rowOff>43328</xdr:rowOff>
    </xdr:from>
    <xdr:to>
      <xdr:col>10</xdr:col>
      <xdr:colOff>409225</xdr:colOff>
      <xdr:row>7</xdr:row>
      <xdr:rowOff>158848</xdr:rowOff>
    </xdr:to>
    <xdr:grpSp>
      <xdr:nvGrpSpPr>
        <xdr:cNvPr id="5" name="Group 4">
          <a:extLst>
            <a:ext uri="{FF2B5EF4-FFF2-40B4-BE49-F238E27FC236}">
              <a16:creationId xmlns:a16="http://schemas.microsoft.com/office/drawing/2014/main" id="{6254A6B0-FC6F-4B9D-AA64-3F952B62FCE4}"/>
            </a:ext>
          </a:extLst>
        </xdr:cNvPr>
        <xdr:cNvGrpSpPr/>
      </xdr:nvGrpSpPr>
      <xdr:grpSpPr>
        <a:xfrm>
          <a:off x="2298570" y="43328"/>
          <a:ext cx="3825655" cy="1449020"/>
          <a:chOff x="2412870" y="59203"/>
          <a:chExt cx="4028855" cy="1449020"/>
        </a:xfrm>
      </xdr:grpSpPr>
      <xdr:sp macro="" textlink="">
        <xdr:nvSpPr>
          <xdr:cNvPr id="66" name="Rectangle: Rounded Corners 65">
            <a:extLst>
              <a:ext uri="{FF2B5EF4-FFF2-40B4-BE49-F238E27FC236}">
                <a16:creationId xmlns:a16="http://schemas.microsoft.com/office/drawing/2014/main" id="{0B957E56-CE98-488D-A697-4E4A00BFF419}"/>
              </a:ext>
            </a:extLst>
          </xdr:cNvPr>
          <xdr:cNvSpPr/>
        </xdr:nvSpPr>
        <xdr:spPr>
          <a:xfrm rot="5400000">
            <a:off x="3645259" y="-1069682"/>
            <a:ext cx="1258128" cy="3722905"/>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2" name="Oval 21">
            <a:extLst>
              <a:ext uri="{FF2B5EF4-FFF2-40B4-BE49-F238E27FC236}">
                <a16:creationId xmlns:a16="http://schemas.microsoft.com/office/drawing/2014/main" id="{82EAD981-9D8A-4681-8725-BF356031AB0F}"/>
              </a:ext>
            </a:extLst>
          </xdr:cNvPr>
          <xdr:cNvSpPr/>
        </xdr:nvSpPr>
        <xdr:spPr>
          <a:xfrm>
            <a:off x="2559926" y="328506"/>
            <a:ext cx="941252" cy="933232"/>
          </a:xfrm>
          <a:prstGeom prst="ellipse">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6600" b="1">
                <a:solidFill>
                  <a:schemeClr val="bg1"/>
                </a:solidFill>
                <a:latin typeface="72 Black" panose="020B0A04030603020204" pitchFamily="34" charset="0"/>
                <a:cs typeface="72 Black" panose="020B0A04030603020204" pitchFamily="34" charset="0"/>
              </a:rPr>
              <a:t>C</a:t>
            </a:r>
            <a:endParaRPr lang="pt-BR" sz="1100" b="1">
              <a:solidFill>
                <a:schemeClr val="bg1"/>
              </a:solidFill>
              <a:latin typeface="72 Black" panose="020B0A04030603020204" pitchFamily="34" charset="0"/>
              <a:cs typeface="72 Black" panose="020B0A04030603020204" pitchFamily="34" charset="0"/>
            </a:endParaRPr>
          </a:p>
        </xdr:txBody>
      </xdr:sp>
      <xdr:graphicFrame macro="">
        <xdr:nvGraphicFramePr>
          <xdr:cNvPr id="41" name="Chart 40">
            <a:extLst>
              <a:ext uri="{FF2B5EF4-FFF2-40B4-BE49-F238E27FC236}">
                <a16:creationId xmlns:a16="http://schemas.microsoft.com/office/drawing/2014/main" id="{77DE5B71-51CE-42CE-A94A-4C565104E630}"/>
              </a:ext>
            </a:extLst>
          </xdr:cNvPr>
          <xdr:cNvGraphicFramePr>
            <a:graphicFrameLocks/>
          </xdr:cNvGraphicFramePr>
        </xdr:nvGraphicFramePr>
        <xdr:xfrm>
          <a:off x="3296321" y="847823"/>
          <a:ext cx="2934361" cy="660400"/>
        </xdr:xfrm>
        <a:graphic>
          <a:graphicData uri="http://schemas.openxmlformats.org/drawingml/2006/chart">
            <c:chart xmlns:c="http://schemas.openxmlformats.org/drawingml/2006/chart" xmlns:r="http://schemas.openxmlformats.org/officeDocument/2006/relationships" r:id="rId10"/>
          </a:graphicData>
        </a:graphic>
      </xdr:graphicFrame>
      <xdr:sp macro="" textlink="Dados!B10">
        <xdr:nvSpPr>
          <xdr:cNvPr id="44" name="TextBox 43">
            <a:extLst>
              <a:ext uri="{FF2B5EF4-FFF2-40B4-BE49-F238E27FC236}">
                <a16:creationId xmlns:a16="http://schemas.microsoft.com/office/drawing/2014/main" id="{E79B8C56-E151-47CD-AE5E-97D54C1344BE}"/>
              </a:ext>
            </a:extLst>
          </xdr:cNvPr>
          <xdr:cNvSpPr txBox="1"/>
        </xdr:nvSpPr>
        <xdr:spPr>
          <a:xfrm>
            <a:off x="4919968" y="59203"/>
            <a:ext cx="1521757"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546A92-0FBD-4146-B68B-636F675ADA94}" type="TxLink">
              <a:rPr lang="en-US" sz="2400" b="1" i="0" u="none" strike="noStrike">
                <a:solidFill>
                  <a:schemeClr val="bg1"/>
                </a:solidFill>
                <a:latin typeface="Arial" panose="020B0604020202020204" pitchFamily="34" charset="0"/>
                <a:cs typeface="Arial" panose="020B0604020202020204" pitchFamily="34" charset="0"/>
              </a:rPr>
              <a:pPr algn="ctr"/>
              <a:t>6566</a:t>
            </a:fld>
            <a:endParaRPr lang="pt-BR" sz="1200" b="1">
              <a:solidFill>
                <a:schemeClr val="bg1"/>
              </a:solidFill>
              <a:latin typeface="Arial" panose="020B0604020202020204" pitchFamily="34" charset="0"/>
              <a:cs typeface="Arial" panose="020B0604020202020204" pitchFamily="34" charset="0"/>
            </a:endParaRPr>
          </a:p>
        </xdr:txBody>
      </xdr:sp>
      <xdr:sp macro="" textlink="Dados!T7">
        <xdr:nvSpPr>
          <xdr:cNvPr id="43" name="TextBox 42">
            <a:extLst>
              <a:ext uri="{FF2B5EF4-FFF2-40B4-BE49-F238E27FC236}">
                <a16:creationId xmlns:a16="http://schemas.microsoft.com/office/drawing/2014/main" id="{5B68107E-A24E-47E0-BD87-8CBB46FC5073}"/>
              </a:ext>
            </a:extLst>
          </xdr:cNvPr>
          <xdr:cNvSpPr txBox="1"/>
        </xdr:nvSpPr>
        <xdr:spPr>
          <a:xfrm>
            <a:off x="3345292" y="461758"/>
            <a:ext cx="2809643"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DE3F8E-C508-421C-B812-1BCAFDA03467}" type="TxLink">
              <a:rPr lang="en-US" sz="2800" b="1" i="0" u="none" strike="noStrike">
                <a:solidFill>
                  <a:schemeClr val="bg1"/>
                </a:solidFill>
                <a:latin typeface="Arial" panose="020B0604020202020204" pitchFamily="34" charset="0"/>
                <a:cs typeface="Arial" panose="020B0604020202020204" pitchFamily="34" charset="0"/>
              </a:rPr>
              <a:pPr algn="ctr"/>
              <a:t> R$65.406,30 </a:t>
            </a:fld>
            <a:endParaRPr lang="pt-BR" sz="28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31</xdr:col>
      <xdr:colOff>140277</xdr:colOff>
      <xdr:row>0</xdr:row>
      <xdr:rowOff>146832</xdr:rowOff>
    </xdr:from>
    <xdr:to>
      <xdr:col>37</xdr:col>
      <xdr:colOff>345632</xdr:colOff>
      <xdr:row>7</xdr:row>
      <xdr:rowOff>159507</xdr:rowOff>
    </xdr:to>
    <xdr:grpSp>
      <xdr:nvGrpSpPr>
        <xdr:cNvPr id="16" name="Group 15">
          <a:extLst>
            <a:ext uri="{FF2B5EF4-FFF2-40B4-BE49-F238E27FC236}">
              <a16:creationId xmlns:a16="http://schemas.microsoft.com/office/drawing/2014/main" id="{2C79420B-ECE2-4FAE-869B-386C571F1BFD}"/>
            </a:ext>
          </a:extLst>
        </xdr:cNvPr>
        <xdr:cNvGrpSpPr/>
      </xdr:nvGrpSpPr>
      <xdr:grpSpPr>
        <a:xfrm>
          <a:off x="17856777" y="146832"/>
          <a:ext cx="3634355" cy="1346175"/>
          <a:chOff x="18761652" y="146832"/>
          <a:chExt cx="3824855" cy="1346175"/>
        </a:xfrm>
      </xdr:grpSpPr>
      <xdr:sp macro="" textlink="">
        <xdr:nvSpPr>
          <xdr:cNvPr id="65" name="Rectangle: Rounded Corners 64">
            <a:extLst>
              <a:ext uri="{FF2B5EF4-FFF2-40B4-BE49-F238E27FC236}">
                <a16:creationId xmlns:a16="http://schemas.microsoft.com/office/drawing/2014/main" id="{0140309E-5CCC-42F5-8C96-0CCCF1651E00}"/>
              </a:ext>
            </a:extLst>
          </xdr:cNvPr>
          <xdr:cNvSpPr/>
        </xdr:nvSpPr>
        <xdr:spPr>
          <a:xfrm rot="5400000">
            <a:off x="19995805" y="-1087321"/>
            <a:ext cx="1258128" cy="3726434"/>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8" name="Group 27">
            <a:extLst>
              <a:ext uri="{FF2B5EF4-FFF2-40B4-BE49-F238E27FC236}">
                <a16:creationId xmlns:a16="http://schemas.microsoft.com/office/drawing/2014/main" id="{A6B9211A-9C57-44BF-A08A-45CDF575D4A1}"/>
              </a:ext>
            </a:extLst>
          </xdr:cNvPr>
          <xdr:cNvGrpSpPr/>
        </xdr:nvGrpSpPr>
        <xdr:grpSpPr>
          <a:xfrm>
            <a:off x="18894344" y="313408"/>
            <a:ext cx="936145" cy="931677"/>
            <a:chOff x="12128500" y="352481"/>
            <a:chExt cx="812800" cy="812800"/>
          </a:xfrm>
        </xdr:grpSpPr>
        <xdr:sp macro="" textlink="">
          <xdr:nvSpPr>
            <xdr:cNvPr id="23" name="Oval 22">
              <a:extLst>
                <a:ext uri="{FF2B5EF4-FFF2-40B4-BE49-F238E27FC236}">
                  <a16:creationId xmlns:a16="http://schemas.microsoft.com/office/drawing/2014/main" id="{802F42F7-E2BA-4C3E-933E-3EEF3C17CE0F}"/>
                </a:ext>
              </a:extLst>
            </xdr:cNvPr>
            <xdr:cNvSpPr/>
          </xdr:nvSpPr>
          <xdr:spPr>
            <a:xfrm>
              <a:off x="12128500" y="352481"/>
              <a:ext cx="812800" cy="812800"/>
            </a:xfrm>
            <a:prstGeom prst="ellipse">
              <a:avLst/>
            </a:prstGeom>
            <a:solidFill>
              <a:srgbClr val="FF6600"/>
            </a:solidFill>
            <a:ln w="28575">
              <a:solidFill>
                <a:srgbClr val="FF6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4800" b="1">
                <a:solidFill>
                  <a:schemeClr val="bg1"/>
                </a:solidFill>
              </a:endParaRPr>
            </a:p>
          </xdr:txBody>
        </xdr:sp>
        <xdr:pic>
          <xdr:nvPicPr>
            <xdr:cNvPr id="27" name="Graphic 26" descr="Dollar with solid fill">
              <a:extLst>
                <a:ext uri="{FF2B5EF4-FFF2-40B4-BE49-F238E27FC236}">
                  <a16:creationId xmlns:a16="http://schemas.microsoft.com/office/drawing/2014/main" id="{A084F0FA-9864-4811-93B8-E6385C3FEE8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179300" y="418098"/>
              <a:ext cx="711200" cy="681567"/>
            </a:xfrm>
            <a:prstGeom prst="rect">
              <a:avLst/>
            </a:prstGeom>
          </xdr:spPr>
        </xdr:pic>
      </xdr:grpSp>
      <xdr:sp macro="" textlink="Dados!I3">
        <xdr:nvSpPr>
          <xdr:cNvPr id="48" name="TextBox 47">
            <a:extLst>
              <a:ext uri="{FF2B5EF4-FFF2-40B4-BE49-F238E27FC236}">
                <a16:creationId xmlns:a16="http://schemas.microsoft.com/office/drawing/2014/main" id="{AD1E5F0A-952F-4A1E-9BCF-3B6C56CC686A}"/>
              </a:ext>
            </a:extLst>
          </xdr:cNvPr>
          <xdr:cNvSpPr txBox="1"/>
        </xdr:nvSpPr>
        <xdr:spPr>
          <a:xfrm>
            <a:off x="19604158" y="445883"/>
            <a:ext cx="2947162"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6FA470-9D4D-4815-8913-59D8B96CCDA9}" type="TxLink">
              <a:rPr lang="en-US" sz="2800" b="1" i="0" u="none" strike="noStrike">
                <a:solidFill>
                  <a:schemeClr val="bg1"/>
                </a:solidFill>
                <a:latin typeface="Arial" panose="020B0604020202020204" pitchFamily="34" charset="0"/>
                <a:cs typeface="Arial" panose="020B0604020202020204" pitchFamily="34" charset="0"/>
              </a:rPr>
              <a:pPr algn="ctr"/>
              <a:t> R$ 119.643,42 </a:t>
            </a:fld>
            <a:endParaRPr lang="pt-BR" sz="2800" b="1">
              <a:solidFill>
                <a:schemeClr val="bg1"/>
              </a:solidFill>
              <a:latin typeface="Arial" panose="020B0604020202020204" pitchFamily="34" charset="0"/>
              <a:cs typeface="Arial" panose="020B0604020202020204" pitchFamily="34" charset="0"/>
            </a:endParaRPr>
          </a:p>
        </xdr:txBody>
      </xdr:sp>
      <xdr:graphicFrame macro="">
        <xdr:nvGraphicFramePr>
          <xdr:cNvPr id="47" name="Chart 46">
            <a:extLst>
              <a:ext uri="{FF2B5EF4-FFF2-40B4-BE49-F238E27FC236}">
                <a16:creationId xmlns:a16="http://schemas.microsoft.com/office/drawing/2014/main" id="{7856A9D8-93E6-42EA-864F-E145C4D8F806}"/>
              </a:ext>
            </a:extLst>
          </xdr:cNvPr>
          <xdr:cNvGraphicFramePr>
            <a:graphicFrameLocks/>
          </xdr:cNvGraphicFramePr>
        </xdr:nvGraphicFramePr>
        <xdr:xfrm>
          <a:off x="19652146" y="831289"/>
          <a:ext cx="2934361" cy="661718"/>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17</xdr:col>
      <xdr:colOff>355222</xdr:colOff>
      <xdr:row>0</xdr:row>
      <xdr:rowOff>43328</xdr:rowOff>
    </xdr:from>
    <xdr:to>
      <xdr:col>24</xdr:col>
      <xdr:colOff>155682</xdr:colOff>
      <xdr:row>7</xdr:row>
      <xdr:rowOff>71460</xdr:rowOff>
    </xdr:to>
    <xdr:grpSp>
      <xdr:nvGrpSpPr>
        <xdr:cNvPr id="11" name="Group 10">
          <a:extLst>
            <a:ext uri="{FF2B5EF4-FFF2-40B4-BE49-F238E27FC236}">
              <a16:creationId xmlns:a16="http://schemas.microsoft.com/office/drawing/2014/main" id="{C65F5758-950C-4AF9-BDC7-6EFBC688E970}"/>
            </a:ext>
          </a:extLst>
        </xdr:cNvPr>
        <xdr:cNvGrpSpPr/>
      </xdr:nvGrpSpPr>
      <xdr:grpSpPr>
        <a:xfrm>
          <a:off x="10070722" y="43328"/>
          <a:ext cx="3800960" cy="1361632"/>
          <a:chOff x="10564742" y="59203"/>
          <a:chExt cx="4023210" cy="1361632"/>
        </a:xfrm>
      </xdr:grpSpPr>
      <xdr:sp macro="" textlink="">
        <xdr:nvSpPr>
          <xdr:cNvPr id="57" name="Rectangle: Rounded Corners 56">
            <a:extLst>
              <a:ext uri="{FF2B5EF4-FFF2-40B4-BE49-F238E27FC236}">
                <a16:creationId xmlns:a16="http://schemas.microsoft.com/office/drawing/2014/main" id="{D7C5795A-C2FB-45E6-AA38-9E371A96D9E5}"/>
              </a:ext>
            </a:extLst>
          </xdr:cNvPr>
          <xdr:cNvSpPr/>
        </xdr:nvSpPr>
        <xdr:spPr>
          <a:xfrm rot="5400000">
            <a:off x="11798895" y="-1071446"/>
            <a:ext cx="1258128" cy="3726434"/>
          </a:xfrm>
          <a:prstGeom prst="roundRect">
            <a:avLst>
              <a:gd name="adj" fmla="val 10697"/>
            </a:avLst>
          </a:prstGeom>
          <a:solidFill>
            <a:srgbClr val="319BF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0" name="Oval 59">
            <a:extLst>
              <a:ext uri="{FF2B5EF4-FFF2-40B4-BE49-F238E27FC236}">
                <a16:creationId xmlns:a16="http://schemas.microsoft.com/office/drawing/2014/main" id="{2EE487D7-E83E-442B-BE58-16E2E3F7B62F}"/>
              </a:ext>
            </a:extLst>
          </xdr:cNvPr>
          <xdr:cNvSpPr/>
        </xdr:nvSpPr>
        <xdr:spPr>
          <a:xfrm>
            <a:off x="10705654" y="329283"/>
            <a:ext cx="936145" cy="931677"/>
          </a:xfrm>
          <a:prstGeom prst="ellipse">
            <a:avLst/>
          </a:prstGeom>
          <a:solidFill>
            <a:schemeClr val="accent4"/>
          </a:solidFill>
          <a:ln>
            <a:solidFill>
              <a:srgbClr val="4AD7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6600" b="1">
                <a:solidFill>
                  <a:schemeClr val="bg1"/>
                </a:solidFill>
                <a:latin typeface="72 Black" panose="020B0A04030603020204" pitchFamily="34" charset="0"/>
                <a:cs typeface="72 Black" panose="020B0A04030603020204" pitchFamily="34" charset="0"/>
              </a:rPr>
              <a:t>D</a:t>
            </a:r>
            <a:endParaRPr lang="pt-BR" sz="1400" b="1">
              <a:solidFill>
                <a:schemeClr val="bg1"/>
              </a:solidFill>
              <a:latin typeface="72 Black" panose="020B0A04030603020204" pitchFamily="34" charset="0"/>
              <a:cs typeface="72 Black" panose="020B0A04030603020204" pitchFamily="34" charset="0"/>
            </a:endParaRPr>
          </a:p>
        </xdr:txBody>
      </xdr:sp>
      <xdr:sp macro="" textlink="Dados!N13">
        <xdr:nvSpPr>
          <xdr:cNvPr id="67" name="TextBox 66">
            <a:extLst>
              <a:ext uri="{FF2B5EF4-FFF2-40B4-BE49-F238E27FC236}">
                <a16:creationId xmlns:a16="http://schemas.microsoft.com/office/drawing/2014/main" id="{3DC0E8D0-02AB-4E00-8133-7C039A4A24B6}"/>
              </a:ext>
            </a:extLst>
          </xdr:cNvPr>
          <xdr:cNvSpPr txBox="1"/>
        </xdr:nvSpPr>
        <xdr:spPr>
          <a:xfrm>
            <a:off x="11419742" y="461758"/>
            <a:ext cx="2797763"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E75647-BF7F-469D-9EFB-EB7F7E9F9228}" type="TxLink">
              <a:rPr lang="en-US" sz="2800" b="1" i="0" u="none" strike="noStrike">
                <a:solidFill>
                  <a:schemeClr val="bg1"/>
                </a:solidFill>
                <a:latin typeface="Arial" panose="020B0604020202020204" pitchFamily="34" charset="0"/>
                <a:cs typeface="Arial" panose="020B0604020202020204" pitchFamily="34" charset="0"/>
              </a:rPr>
              <a:pPr algn="ctr"/>
              <a:t>-R$ 498,96 </a:t>
            </a:fld>
            <a:endParaRPr lang="pt-BR" sz="6000" b="1">
              <a:solidFill>
                <a:schemeClr val="bg1"/>
              </a:solidFill>
              <a:latin typeface="Arial" panose="020B0604020202020204" pitchFamily="34" charset="0"/>
              <a:cs typeface="Arial" panose="020B0604020202020204" pitchFamily="34" charset="0"/>
            </a:endParaRPr>
          </a:p>
        </xdr:txBody>
      </xdr:sp>
      <xdr:sp macro="" textlink="Dados!B15">
        <xdr:nvSpPr>
          <xdr:cNvPr id="68" name="TextBox 67">
            <a:extLst>
              <a:ext uri="{FF2B5EF4-FFF2-40B4-BE49-F238E27FC236}">
                <a16:creationId xmlns:a16="http://schemas.microsoft.com/office/drawing/2014/main" id="{1B06C488-828B-4001-AD86-F703B19E01F2}"/>
              </a:ext>
            </a:extLst>
          </xdr:cNvPr>
          <xdr:cNvSpPr txBox="1"/>
        </xdr:nvSpPr>
        <xdr:spPr>
          <a:xfrm>
            <a:off x="13078052" y="59203"/>
            <a:ext cx="150990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2FD8A1-0047-41FB-A30E-36EB33F0D775}" type="TxLink">
              <a:rPr lang="en-US" sz="2400" b="1" i="0" u="none" strike="noStrike">
                <a:solidFill>
                  <a:schemeClr val="bg1"/>
                </a:solidFill>
                <a:latin typeface="Arial" panose="020B0604020202020204" pitchFamily="34" charset="0"/>
                <a:cs typeface="Arial" panose="020B0604020202020204" pitchFamily="34" charset="0"/>
              </a:rPr>
              <a:pPr algn="ctr"/>
              <a:t>-36</a:t>
            </a:fld>
            <a:endParaRPr lang="pt-BR" sz="2800" b="1">
              <a:solidFill>
                <a:schemeClr val="bg1"/>
              </a:solidFill>
              <a:latin typeface="Arial" panose="020B0604020202020204" pitchFamily="34" charset="0"/>
              <a:cs typeface="Arial" panose="020B0604020202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174000</xdr:colOff>
      <xdr:row>0</xdr:row>
      <xdr:rowOff>372339</xdr:rowOff>
    </xdr:from>
    <xdr:to>
      <xdr:col>7</xdr:col>
      <xdr:colOff>363681</xdr:colOff>
      <xdr:row>0</xdr:row>
      <xdr:rowOff>1070839</xdr:rowOff>
    </xdr:to>
    <xdr:sp macro="" textlink="">
      <xdr:nvSpPr>
        <xdr:cNvPr id="3" name="Rectangle: Rounded Corners 2">
          <a:extLst>
            <a:ext uri="{FF2B5EF4-FFF2-40B4-BE49-F238E27FC236}">
              <a16:creationId xmlns:a16="http://schemas.microsoft.com/office/drawing/2014/main" id="{2FCAD880-58CD-468E-A212-90B62BCB90F0}"/>
            </a:ext>
          </a:extLst>
        </xdr:cNvPr>
        <xdr:cNvSpPr/>
      </xdr:nvSpPr>
      <xdr:spPr>
        <a:xfrm>
          <a:off x="1767273" y="372339"/>
          <a:ext cx="6510817" cy="698500"/>
        </a:xfrm>
        <a:prstGeom prst="roundRect">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000" b="1">
              <a:solidFill>
                <a:schemeClr val="bg1"/>
              </a:solidFill>
              <a:latin typeface="Arial" panose="020B0604020202020204" pitchFamily="34" charset="0"/>
              <a:cs typeface="Arial" panose="020B0604020202020204" pitchFamily="34" charset="0"/>
            </a:rPr>
            <a:t>Registro</a:t>
          </a:r>
          <a:r>
            <a:rPr lang="pt-BR" sz="4000" b="1" baseline="0">
              <a:solidFill>
                <a:schemeClr val="bg1"/>
              </a:solidFill>
              <a:latin typeface="Arial" panose="020B0604020202020204" pitchFamily="34" charset="0"/>
              <a:cs typeface="Arial" panose="020B0604020202020204" pitchFamily="34" charset="0"/>
            </a:rPr>
            <a:t> de Cantoneiras</a:t>
          </a:r>
        </a:p>
        <a:p>
          <a:pPr algn="l"/>
          <a:endParaRPr lang="pt-BR" sz="1100" b="1"/>
        </a:p>
      </xdr:txBody>
    </xdr:sp>
    <xdr:clientData/>
  </xdr:twoCellAnchor>
  <xdr:twoCellAnchor>
    <xdr:from>
      <xdr:col>7</xdr:col>
      <xdr:colOff>933057</xdr:colOff>
      <xdr:row>0</xdr:row>
      <xdr:rowOff>248226</xdr:rowOff>
    </xdr:from>
    <xdr:to>
      <xdr:col>9</xdr:col>
      <xdr:colOff>136420</xdr:colOff>
      <xdr:row>0</xdr:row>
      <xdr:rowOff>1194952</xdr:rowOff>
    </xdr:to>
    <xdr:grpSp>
      <xdr:nvGrpSpPr>
        <xdr:cNvPr id="13" name="Group 12">
          <a:extLst>
            <a:ext uri="{FF2B5EF4-FFF2-40B4-BE49-F238E27FC236}">
              <a16:creationId xmlns:a16="http://schemas.microsoft.com/office/drawing/2014/main" id="{51F3F2E3-6C9E-400D-94BF-E619BCA5FA0F}"/>
            </a:ext>
          </a:extLst>
        </xdr:cNvPr>
        <xdr:cNvGrpSpPr/>
      </xdr:nvGrpSpPr>
      <xdr:grpSpPr>
        <a:xfrm>
          <a:off x="8847466" y="248226"/>
          <a:ext cx="1783772" cy="946726"/>
          <a:chOff x="842818" y="196273"/>
          <a:chExt cx="3059546" cy="946727"/>
        </a:xfrm>
      </xdr:grpSpPr>
      <mc:AlternateContent xmlns:mc="http://schemas.openxmlformats.org/markup-compatibility/2006" xmlns:sle15="http://schemas.microsoft.com/office/drawing/2012/slicer">
        <mc:Choice Requires="sle15">
          <xdr:graphicFrame macro="">
            <xdr:nvGraphicFramePr>
              <xdr:cNvPr id="5" name="Ano">
                <a:extLst>
                  <a:ext uri="{FF2B5EF4-FFF2-40B4-BE49-F238E27FC236}">
                    <a16:creationId xmlns:a16="http://schemas.microsoft.com/office/drawing/2014/main" id="{5139F07B-4D1A-46BC-9271-C7B99D4FAFA7}"/>
                  </a:ext>
                </a:extLst>
              </xdr:cNvPr>
              <xdr:cNvGraphicFramePr/>
            </xdr:nvGraphicFramePr>
            <xdr:xfrm>
              <a:off x="966932" y="222250"/>
              <a:ext cx="2811318" cy="897658"/>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8919827" y="274203"/>
                <a:ext cx="1639050" cy="897657"/>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sp macro="" textlink="">
        <xdr:nvSpPr>
          <xdr:cNvPr id="6" name="Rectangle: Rounded Corners 5">
            <a:extLst>
              <a:ext uri="{FF2B5EF4-FFF2-40B4-BE49-F238E27FC236}">
                <a16:creationId xmlns:a16="http://schemas.microsoft.com/office/drawing/2014/main" id="{E321E867-E8DB-4BCD-B1AB-645E74DB0B04}"/>
              </a:ext>
            </a:extLst>
          </xdr:cNvPr>
          <xdr:cNvSpPr/>
        </xdr:nvSpPr>
        <xdr:spPr>
          <a:xfrm>
            <a:off x="842818" y="196273"/>
            <a:ext cx="3059546" cy="946727"/>
          </a:xfrm>
          <a:prstGeom prst="roundRect">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9</xdr:col>
      <xdr:colOff>549936</xdr:colOff>
      <xdr:row>0</xdr:row>
      <xdr:rowOff>219363</xdr:rowOff>
    </xdr:from>
    <xdr:to>
      <xdr:col>12</xdr:col>
      <xdr:colOff>267658</xdr:colOff>
      <xdr:row>0</xdr:row>
      <xdr:rowOff>1223816</xdr:rowOff>
    </xdr:to>
    <xdr:grpSp>
      <xdr:nvGrpSpPr>
        <xdr:cNvPr id="14" name="Group 13">
          <a:extLst>
            <a:ext uri="{FF2B5EF4-FFF2-40B4-BE49-F238E27FC236}">
              <a16:creationId xmlns:a16="http://schemas.microsoft.com/office/drawing/2014/main" id="{DE7B4EE9-D659-4FB0-9B82-CA7964F20E74}"/>
            </a:ext>
          </a:extLst>
        </xdr:cNvPr>
        <xdr:cNvGrpSpPr/>
      </xdr:nvGrpSpPr>
      <xdr:grpSpPr>
        <a:xfrm>
          <a:off x="11044754" y="219363"/>
          <a:ext cx="4722677" cy="1004453"/>
          <a:chOff x="11903363" y="115456"/>
          <a:chExt cx="4802909" cy="1004454"/>
        </a:xfrm>
      </xdr:grpSpPr>
      <mc:AlternateContent xmlns:mc="http://schemas.openxmlformats.org/markup-compatibility/2006" xmlns:sle15="http://schemas.microsoft.com/office/drawing/2012/slicer">
        <mc:Choice Requires="sle15">
          <xdr:graphicFrame macro="">
            <xdr:nvGraphicFramePr>
              <xdr:cNvPr id="4" name="Mês">
                <a:extLst>
                  <a:ext uri="{FF2B5EF4-FFF2-40B4-BE49-F238E27FC236}">
                    <a16:creationId xmlns:a16="http://schemas.microsoft.com/office/drawing/2014/main" id="{01C1EAB4-6B12-4632-B370-8785B34EC871}"/>
                  </a:ext>
                </a:extLst>
              </xdr:cNvPr>
              <xdr:cNvGraphicFramePr/>
            </xdr:nvGraphicFramePr>
            <xdr:xfrm>
              <a:off x="12002942" y="150091"/>
              <a:ext cx="4603750" cy="946728"/>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11605804" y="253998"/>
                <a:ext cx="4587712" cy="946727"/>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sp macro="" textlink="">
        <xdr:nvSpPr>
          <xdr:cNvPr id="11" name="Rectangle: Rounded Corners 10">
            <a:extLst>
              <a:ext uri="{FF2B5EF4-FFF2-40B4-BE49-F238E27FC236}">
                <a16:creationId xmlns:a16="http://schemas.microsoft.com/office/drawing/2014/main" id="{66C22299-820E-415D-BCA8-7A291176FEAF}"/>
              </a:ext>
            </a:extLst>
          </xdr:cNvPr>
          <xdr:cNvSpPr/>
        </xdr:nvSpPr>
        <xdr:spPr>
          <a:xfrm>
            <a:off x="11903363" y="115456"/>
            <a:ext cx="4802909" cy="1004454"/>
          </a:xfrm>
          <a:prstGeom prst="roundRect">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13</xdr:col>
      <xdr:colOff>646543</xdr:colOff>
      <xdr:row>0</xdr:row>
      <xdr:rowOff>282862</xdr:rowOff>
    </xdr:from>
    <xdr:to>
      <xdr:col>17</xdr:col>
      <xdr:colOff>80817</xdr:colOff>
      <xdr:row>0</xdr:row>
      <xdr:rowOff>1160317</xdr:rowOff>
    </xdr:to>
    <xdr:sp macro="[0]!exibir_formulario" textlink="">
      <xdr:nvSpPr>
        <xdr:cNvPr id="16" name="Rectangle: Rounded Corners 15">
          <a:extLst>
            <a:ext uri="{FF2B5EF4-FFF2-40B4-BE49-F238E27FC236}">
              <a16:creationId xmlns:a16="http://schemas.microsoft.com/office/drawing/2014/main" id="{2C36E6A1-54FE-48C8-87F1-9A1C1706389E}"/>
            </a:ext>
          </a:extLst>
        </xdr:cNvPr>
        <xdr:cNvSpPr/>
      </xdr:nvSpPr>
      <xdr:spPr>
        <a:xfrm>
          <a:off x="17017998" y="282862"/>
          <a:ext cx="1939637" cy="877455"/>
        </a:xfrm>
        <a:prstGeom prst="roundRect">
          <a:avLst/>
        </a:prstGeom>
        <a:solidFill>
          <a:schemeClr val="bg1"/>
        </a:solidFill>
        <a:ln w="38100">
          <a:solidFill>
            <a:srgbClr val="0070C0"/>
          </a:solidFill>
          <a:prstDash val="solid"/>
        </a:ln>
        <a:effectLst>
          <a:outerShdw blurRad="50800" dist="38100" dir="2700000" algn="tl" rotWithShape="0">
            <a:prstClr val="black">
              <a:alpha val="40000"/>
            </a:prstClr>
          </a:outerShdw>
        </a:effectLst>
        <a:scene3d>
          <a:camera prst="orthographicFront"/>
          <a:lightRig rig="threePt" dir="t"/>
        </a:scene3d>
        <a:sp3d>
          <a:bevelT w="101600" prst="ribl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rgbClr val="0070C0"/>
              </a:solidFill>
              <a:latin typeface="Arial" panose="020B0604020202020204" pitchFamily="34" charset="0"/>
              <a:cs typeface="Arial" panose="020B0604020202020204" pitchFamily="34" charset="0"/>
            </a:rPr>
            <a:t>Registrar Novo Débito</a:t>
          </a:r>
        </a:p>
      </xdr:txBody>
    </xdr:sp>
    <xdr:clientData/>
  </xdr:twoCellAnchor>
  <xdr:twoCellAnchor>
    <xdr:from>
      <xdr:col>16</xdr:col>
      <xdr:colOff>774769</xdr:colOff>
      <xdr:row>0</xdr:row>
      <xdr:rowOff>0</xdr:rowOff>
    </xdr:from>
    <xdr:to>
      <xdr:col>21</xdr:col>
      <xdr:colOff>262152</xdr:colOff>
      <xdr:row>0</xdr:row>
      <xdr:rowOff>1404000</xdr:rowOff>
    </xdr:to>
    <xdr:grpSp>
      <xdr:nvGrpSpPr>
        <xdr:cNvPr id="21" name="Group 20">
          <a:extLst>
            <a:ext uri="{FF2B5EF4-FFF2-40B4-BE49-F238E27FC236}">
              <a16:creationId xmlns:a16="http://schemas.microsoft.com/office/drawing/2014/main" id="{89FB7CAB-818E-4A54-9013-B4FAD993EF39}"/>
            </a:ext>
          </a:extLst>
        </xdr:cNvPr>
        <xdr:cNvGrpSpPr/>
      </xdr:nvGrpSpPr>
      <xdr:grpSpPr>
        <a:xfrm>
          <a:off x="18196860" y="0"/>
          <a:ext cx="2656610" cy="1404000"/>
          <a:chOff x="18812166" y="0"/>
          <a:chExt cx="2627746" cy="1253397"/>
        </a:xfrm>
      </xdr:grpSpPr>
      <xdr:sp macro="" textlink="">
        <xdr:nvSpPr>
          <xdr:cNvPr id="17" name="Isosceles Triangle 16">
            <a:extLst>
              <a:ext uri="{FF2B5EF4-FFF2-40B4-BE49-F238E27FC236}">
                <a16:creationId xmlns:a16="http://schemas.microsoft.com/office/drawing/2014/main" id="{0F090C1E-2219-4C78-A823-6F256F3BFF67}"/>
              </a:ext>
            </a:extLst>
          </xdr:cNvPr>
          <xdr:cNvSpPr/>
        </xdr:nvSpPr>
        <xdr:spPr>
          <a:xfrm flipV="1">
            <a:off x="19700540" y="632519"/>
            <a:ext cx="1739372" cy="620878"/>
          </a:xfrm>
          <a:prstGeom prst="triangle">
            <a:avLst/>
          </a:prstGeom>
          <a:solidFill>
            <a:srgbClr val="ACCCEA"/>
          </a:solidFill>
          <a:ln>
            <a:solidFill>
              <a:srgbClr val="ACCCE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 name="Isosceles Triangle 17">
            <a:extLst>
              <a:ext uri="{FF2B5EF4-FFF2-40B4-BE49-F238E27FC236}">
                <a16:creationId xmlns:a16="http://schemas.microsoft.com/office/drawing/2014/main" id="{8767CE70-0261-409F-B48E-20462D254E38}"/>
              </a:ext>
            </a:extLst>
          </xdr:cNvPr>
          <xdr:cNvSpPr/>
        </xdr:nvSpPr>
        <xdr:spPr>
          <a:xfrm flipV="1">
            <a:off x="18812166" y="3879"/>
            <a:ext cx="1739372" cy="620878"/>
          </a:xfrm>
          <a:prstGeom prst="triangle">
            <a:avLst/>
          </a:prstGeom>
          <a:solidFill>
            <a:srgbClr val="527BE0"/>
          </a:solidFill>
          <a:ln>
            <a:solidFill>
              <a:srgbClr val="527BE0"/>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Isosceles Triangle 7">
            <a:extLst>
              <a:ext uri="{FF2B5EF4-FFF2-40B4-BE49-F238E27FC236}">
                <a16:creationId xmlns:a16="http://schemas.microsoft.com/office/drawing/2014/main" id="{24117541-A362-48AE-B45C-C38277182D83}"/>
              </a:ext>
            </a:extLst>
          </xdr:cNvPr>
          <xdr:cNvSpPr/>
        </xdr:nvSpPr>
        <xdr:spPr>
          <a:xfrm>
            <a:off x="19697665" y="0"/>
            <a:ext cx="1739372" cy="620878"/>
          </a:xfrm>
          <a:prstGeom prst="triangle">
            <a:avLst/>
          </a:prstGeom>
          <a:solidFill>
            <a:srgbClr val="98C0E4"/>
          </a:solidFill>
          <a:ln>
            <a:solidFill>
              <a:srgbClr val="98C0E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0</xdr:col>
      <xdr:colOff>0</xdr:colOff>
      <xdr:row>0</xdr:row>
      <xdr:rowOff>0</xdr:rowOff>
    </xdr:from>
    <xdr:to>
      <xdr:col>1</xdr:col>
      <xdr:colOff>923634</xdr:colOff>
      <xdr:row>0</xdr:row>
      <xdr:rowOff>1407600</xdr:rowOff>
    </xdr:to>
    <xdr:grpSp>
      <xdr:nvGrpSpPr>
        <xdr:cNvPr id="34" name="Group 33">
          <a:extLst>
            <a:ext uri="{FF2B5EF4-FFF2-40B4-BE49-F238E27FC236}">
              <a16:creationId xmlns:a16="http://schemas.microsoft.com/office/drawing/2014/main" id="{34688434-2CFA-4F62-A2E6-1682D77ED1D5}"/>
            </a:ext>
          </a:extLst>
        </xdr:cNvPr>
        <xdr:cNvGrpSpPr/>
      </xdr:nvGrpSpPr>
      <xdr:grpSpPr>
        <a:xfrm>
          <a:off x="0" y="0"/>
          <a:ext cx="1512452" cy="1407600"/>
          <a:chOff x="5772728" y="127484910"/>
          <a:chExt cx="1535543" cy="1422001"/>
        </a:xfrm>
      </xdr:grpSpPr>
      <xdr:sp macro="" textlink="">
        <xdr:nvSpPr>
          <xdr:cNvPr id="15" name="Isosceles Triangle 14">
            <a:extLst>
              <a:ext uri="{FF2B5EF4-FFF2-40B4-BE49-F238E27FC236}">
                <a16:creationId xmlns:a16="http://schemas.microsoft.com/office/drawing/2014/main" id="{26EF70BC-DC4C-4C0A-A142-82AFB9960853}"/>
              </a:ext>
            </a:extLst>
          </xdr:cNvPr>
          <xdr:cNvSpPr/>
        </xdr:nvSpPr>
        <xdr:spPr>
          <a:xfrm>
            <a:off x="5772728" y="128195371"/>
            <a:ext cx="1533903" cy="704548"/>
          </a:xfrm>
          <a:prstGeom prst="triangle">
            <a:avLst/>
          </a:prstGeom>
          <a:solidFill>
            <a:srgbClr val="6085E2"/>
          </a:solidFill>
          <a:ln>
            <a:solidFill>
              <a:srgbClr val="6085E2"/>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0" name="Isosceles Triangle 29">
            <a:extLst>
              <a:ext uri="{FF2B5EF4-FFF2-40B4-BE49-F238E27FC236}">
                <a16:creationId xmlns:a16="http://schemas.microsoft.com/office/drawing/2014/main" id="{755F102F-6DAF-4EFF-A3E5-17B670EFF7F3}"/>
              </a:ext>
            </a:extLst>
          </xdr:cNvPr>
          <xdr:cNvSpPr/>
        </xdr:nvSpPr>
        <xdr:spPr>
          <a:xfrm flipV="1">
            <a:off x="5774368" y="127488889"/>
            <a:ext cx="1533903" cy="704548"/>
          </a:xfrm>
          <a:prstGeom prst="triangle">
            <a:avLst/>
          </a:prstGeom>
          <a:solidFill>
            <a:srgbClr val="406DDC"/>
          </a:solidFill>
          <a:ln>
            <a:solidFill>
              <a:srgbClr val="406DD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1" name="Isosceles Triangle 30">
            <a:extLst>
              <a:ext uri="{FF2B5EF4-FFF2-40B4-BE49-F238E27FC236}">
                <a16:creationId xmlns:a16="http://schemas.microsoft.com/office/drawing/2014/main" id="{7E887504-13BE-4A20-916A-4FB9D958F028}"/>
              </a:ext>
            </a:extLst>
          </xdr:cNvPr>
          <xdr:cNvSpPr/>
        </xdr:nvSpPr>
        <xdr:spPr>
          <a:xfrm rot="16200000">
            <a:off x="6214423" y="127819036"/>
            <a:ext cx="1408443" cy="767307"/>
          </a:xfrm>
          <a:prstGeom prst="triangle">
            <a:avLst/>
          </a:prstGeom>
          <a:solidFill>
            <a:srgbClr val="285AD8"/>
          </a:solidFill>
          <a:ln>
            <a:solidFill>
              <a:srgbClr val="285AD8"/>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2" name="Isosceles Triangle 31">
            <a:extLst>
              <a:ext uri="{FF2B5EF4-FFF2-40B4-BE49-F238E27FC236}">
                <a16:creationId xmlns:a16="http://schemas.microsoft.com/office/drawing/2014/main" id="{B6C96240-5858-44E8-AA80-9B03F813AA1F}"/>
              </a:ext>
            </a:extLst>
          </xdr:cNvPr>
          <xdr:cNvSpPr/>
        </xdr:nvSpPr>
        <xdr:spPr>
          <a:xfrm rot="5400000" flipH="1">
            <a:off x="5453213" y="127805478"/>
            <a:ext cx="1408443" cy="767307"/>
          </a:xfrm>
          <a:prstGeom prst="triangle">
            <a:avLst/>
          </a:prstGeom>
          <a:solidFill>
            <a:srgbClr val="4F78DF"/>
          </a:solidFill>
          <a:ln>
            <a:solidFill>
              <a:srgbClr val="4F78D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0</xdr:col>
      <xdr:colOff>190504</xdr:colOff>
      <xdr:row>0</xdr:row>
      <xdr:rowOff>103909</xdr:rowOff>
    </xdr:from>
    <xdr:to>
      <xdr:col>1</xdr:col>
      <xdr:colOff>183395</xdr:colOff>
      <xdr:row>0</xdr:row>
      <xdr:rowOff>665509</xdr:rowOff>
    </xdr:to>
    <xdr:grpSp>
      <xdr:nvGrpSpPr>
        <xdr:cNvPr id="23" name="Group 22">
          <a:extLst>
            <a:ext uri="{FF2B5EF4-FFF2-40B4-BE49-F238E27FC236}">
              <a16:creationId xmlns:a16="http://schemas.microsoft.com/office/drawing/2014/main" id="{A94B18EC-0187-436B-9FEA-07230C185652}"/>
            </a:ext>
          </a:extLst>
        </xdr:cNvPr>
        <xdr:cNvGrpSpPr/>
      </xdr:nvGrpSpPr>
      <xdr:grpSpPr>
        <a:xfrm>
          <a:off x="190504" y="103909"/>
          <a:ext cx="581709" cy="561600"/>
          <a:chOff x="4849090" y="133084456"/>
          <a:chExt cx="907649" cy="842817"/>
        </a:xfrm>
        <a:effectLst>
          <a:outerShdw blurRad="50800" dist="38100" dir="2700000" algn="tl" rotWithShape="0">
            <a:prstClr val="black">
              <a:alpha val="40000"/>
            </a:prstClr>
          </a:outerShdw>
        </a:effectLst>
      </xdr:grpSpPr>
      <xdr:sp macro="[0]!unprotect" textlink="">
        <xdr:nvSpPr>
          <xdr:cNvPr id="2" name="Oval 1">
            <a:extLst>
              <a:ext uri="{FF2B5EF4-FFF2-40B4-BE49-F238E27FC236}">
                <a16:creationId xmlns:a16="http://schemas.microsoft.com/office/drawing/2014/main" id="{A24B00EF-1FBD-4CF4-BE03-B8ACC3F6B7DB}"/>
              </a:ext>
            </a:extLst>
          </xdr:cNvPr>
          <xdr:cNvSpPr/>
        </xdr:nvSpPr>
        <xdr:spPr>
          <a:xfrm>
            <a:off x="4849090" y="133084456"/>
            <a:ext cx="907649" cy="842817"/>
          </a:xfrm>
          <a:prstGeom prst="ellipse">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macro="[0]!unprotect">
        <xdr:nvPicPr>
          <xdr:cNvPr id="19" name="Graphic 18" descr="Unlock with solid fill">
            <a:extLst>
              <a:ext uri="{FF2B5EF4-FFF2-40B4-BE49-F238E27FC236}">
                <a16:creationId xmlns:a16="http://schemas.microsoft.com/office/drawing/2014/main" id="{B86923C5-2A57-439B-A0D9-A2EC9E7D349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018202" y="133219303"/>
            <a:ext cx="569425" cy="569426"/>
          </a:xfrm>
          <a:prstGeom prst="rect">
            <a:avLst/>
          </a:prstGeom>
          <a:ln>
            <a:noFill/>
          </a:ln>
          <a:effectLst/>
          <a:scene3d>
            <a:camera prst="orthographicFront">
              <a:rot lat="0" lon="0" rev="0"/>
            </a:camera>
            <a:lightRig rig="contrasting" dir="t">
              <a:rot lat="0" lon="0" rev="7800000"/>
            </a:lightRig>
          </a:scene3d>
          <a:sp3d>
            <a:bevelT w="139700" h="139700"/>
          </a:sp3d>
        </xdr:spPr>
      </xdr:pic>
    </xdr:grpSp>
    <xdr:clientData/>
  </xdr:twoCellAnchor>
  <xdr:twoCellAnchor>
    <xdr:from>
      <xdr:col>0</xdr:col>
      <xdr:colOff>191316</xdr:colOff>
      <xdr:row>0</xdr:row>
      <xdr:rowOff>773188</xdr:rowOff>
    </xdr:from>
    <xdr:to>
      <xdr:col>1</xdr:col>
      <xdr:colOff>182583</xdr:colOff>
      <xdr:row>0</xdr:row>
      <xdr:rowOff>1333499</xdr:rowOff>
    </xdr:to>
    <xdr:grpSp>
      <xdr:nvGrpSpPr>
        <xdr:cNvPr id="24" name="Group 23">
          <a:hlinkClick xmlns:r="http://schemas.openxmlformats.org/officeDocument/2006/relationships" r:id="rId3"/>
          <a:extLst>
            <a:ext uri="{FF2B5EF4-FFF2-40B4-BE49-F238E27FC236}">
              <a16:creationId xmlns:a16="http://schemas.microsoft.com/office/drawing/2014/main" id="{24081DA1-F454-468B-8AE3-9EDC55B13021}"/>
            </a:ext>
          </a:extLst>
        </xdr:cNvPr>
        <xdr:cNvGrpSpPr/>
      </xdr:nvGrpSpPr>
      <xdr:grpSpPr>
        <a:xfrm>
          <a:off x="191316" y="773188"/>
          <a:ext cx="580085" cy="560311"/>
          <a:chOff x="1027546" y="300181"/>
          <a:chExt cx="709200" cy="658800"/>
        </a:xfrm>
        <a:effectLst>
          <a:outerShdw blurRad="50800" dist="38100" dir="2700000" algn="tl" rotWithShape="0">
            <a:prstClr val="black">
              <a:alpha val="40000"/>
            </a:prstClr>
          </a:outerShdw>
        </a:effectLst>
      </xdr:grpSpPr>
      <xdr:sp macro="" textlink="">
        <xdr:nvSpPr>
          <xdr:cNvPr id="7" name="Oval 6">
            <a:extLst>
              <a:ext uri="{FF2B5EF4-FFF2-40B4-BE49-F238E27FC236}">
                <a16:creationId xmlns:a16="http://schemas.microsoft.com/office/drawing/2014/main" id="{A9E7D393-4B27-4CE8-9BEB-AEEB1A3BEAB7}"/>
              </a:ext>
            </a:extLst>
          </xdr:cNvPr>
          <xdr:cNvSpPr/>
        </xdr:nvSpPr>
        <xdr:spPr>
          <a:xfrm>
            <a:off x="1027546" y="300181"/>
            <a:ext cx="709200" cy="658800"/>
          </a:xfrm>
          <a:prstGeom prst="ellipse">
            <a:avLst/>
          </a:prstGeom>
          <a:solidFill>
            <a:srgbClr val="00B050"/>
          </a:solidFill>
          <a:ln w="38100">
            <a:solidFill>
              <a:schemeClr val="bg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0" cap="none" spc="0">
              <a:ln w="0"/>
              <a:solidFill>
                <a:schemeClr val="accent1"/>
              </a:solidFill>
              <a:effectLst>
                <a:outerShdw blurRad="38100" dist="25400" dir="5400000" algn="ctr" rotWithShape="0">
                  <a:srgbClr val="6E747A">
                    <a:alpha val="43000"/>
                  </a:srgbClr>
                </a:outerShdw>
              </a:effectLst>
            </a:endParaRPr>
          </a:p>
        </xdr:txBody>
      </xdr:sp>
      <xdr:pic>
        <xdr:nvPicPr>
          <xdr:cNvPr id="9" name="Graphic 8" descr="Arrow: Horizontal U-turn with solid fill">
            <a:extLst>
              <a:ext uri="{FF2B5EF4-FFF2-40B4-BE49-F238E27FC236}">
                <a16:creationId xmlns:a16="http://schemas.microsoft.com/office/drawing/2014/main" id="{EDB755F0-60E8-4938-A40E-37EAEFA4AC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28285" y="375044"/>
            <a:ext cx="507723" cy="471641"/>
          </a:xfrm>
          <a:prstGeom prst="rect">
            <a:avLst/>
          </a:prstGeom>
        </xdr:spPr>
      </xdr:pic>
    </xdr:grpSp>
    <xdr:clientData/>
  </xdr:twoCellAnchor>
  <xdr:twoCellAnchor>
    <xdr:from>
      <xdr:col>1</xdr:col>
      <xdr:colOff>270319</xdr:colOff>
      <xdr:row>0</xdr:row>
      <xdr:rowOff>462123</xdr:rowOff>
    </xdr:from>
    <xdr:to>
      <xdr:col>1</xdr:col>
      <xdr:colOff>873495</xdr:colOff>
      <xdr:row>0</xdr:row>
      <xdr:rowOff>1012538</xdr:rowOff>
    </xdr:to>
    <xdr:grpSp>
      <xdr:nvGrpSpPr>
        <xdr:cNvPr id="20" name="Group 19">
          <a:hlinkClick xmlns:r="http://schemas.openxmlformats.org/officeDocument/2006/relationships" r:id="rId6"/>
          <a:extLst>
            <a:ext uri="{FF2B5EF4-FFF2-40B4-BE49-F238E27FC236}">
              <a16:creationId xmlns:a16="http://schemas.microsoft.com/office/drawing/2014/main" id="{F1342471-6C63-4B90-B7E0-E35EE7EC68B5}"/>
            </a:ext>
          </a:extLst>
        </xdr:cNvPr>
        <xdr:cNvGrpSpPr/>
      </xdr:nvGrpSpPr>
      <xdr:grpSpPr>
        <a:xfrm>
          <a:off x="859137" y="462123"/>
          <a:ext cx="603176" cy="550415"/>
          <a:chOff x="7245423" y="130183550"/>
          <a:chExt cx="603176" cy="550415"/>
        </a:xfrm>
      </xdr:grpSpPr>
      <xdr:sp macro="" textlink="">
        <xdr:nvSpPr>
          <xdr:cNvPr id="28" name="Oval 27">
            <a:extLst>
              <a:ext uri="{FF2B5EF4-FFF2-40B4-BE49-F238E27FC236}">
                <a16:creationId xmlns:a16="http://schemas.microsoft.com/office/drawing/2014/main" id="{432C93D9-D60C-417F-A92F-A6A9B65D13A6}"/>
              </a:ext>
            </a:extLst>
          </xdr:cNvPr>
          <xdr:cNvSpPr/>
        </xdr:nvSpPr>
        <xdr:spPr>
          <a:xfrm>
            <a:off x="7245423" y="130183550"/>
            <a:ext cx="603176" cy="550415"/>
          </a:xfrm>
          <a:prstGeom prst="ellipse">
            <a:avLst/>
          </a:prstGeom>
          <a:solidFill>
            <a:schemeClr val="accent4">
              <a:lumMod val="40000"/>
              <a:lumOff val="60000"/>
            </a:schemeClr>
          </a:solidFill>
          <a:ln w="38100">
            <a:solidFill>
              <a:schemeClr val="bg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0" cap="none" spc="0">
              <a:ln w="0"/>
              <a:solidFill>
                <a:schemeClr val="accent1"/>
              </a:solidFill>
              <a:effectLst>
                <a:outerShdw blurRad="38100" dist="25400" dir="5400000" algn="ctr" rotWithShape="0">
                  <a:srgbClr val="6E747A">
                    <a:alpha val="43000"/>
                  </a:srgbClr>
                </a:outerShdw>
              </a:effectLst>
            </a:endParaRPr>
          </a:p>
        </xdr:txBody>
      </xdr:sp>
      <xdr:pic>
        <xdr:nvPicPr>
          <xdr:cNvPr id="12" name="Graphic 11" descr="Closed book with solid fill">
            <a:extLst>
              <a:ext uri="{FF2B5EF4-FFF2-40B4-BE49-F238E27FC236}">
                <a16:creationId xmlns:a16="http://schemas.microsoft.com/office/drawing/2014/main" id="{DAE38D7F-A951-471D-91E7-A9D692EEDEB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37896" y="130272312"/>
            <a:ext cx="418231" cy="410687"/>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ERSONAL"/>
    </sheetNames>
    <definedNames>
      <definedName name="Clear_Filter"/>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eus Emanuel de Paula" refreshedDate="45960.591767361111" createdVersion="6" refreshedVersion="8" minRefreshableVersion="3" recordCount="904" xr:uid="{8749A5E2-A30F-4F69-82C1-FA81166D0B41}">
  <cacheSource type="worksheet">
    <worksheetSource name="Table7"/>
  </cacheSource>
  <cacheFields count="11">
    <cacheField name="Data" numFmtId="14">
      <sharedItems containsDate="1" containsMixedTypes="1" minDate="2023-01-02T00:00:00" maxDate="2025-10-31T00:00:00"/>
    </cacheField>
    <cacheField name="Mês" numFmtId="0">
      <sharedItems containsBlank="1" count="19">
        <s v="JAN"/>
        <s v="FEV"/>
        <s v="MAR"/>
        <s v="ABR"/>
        <s v="MAI"/>
        <s v="JUN"/>
        <s v="JUL"/>
        <s v="AGO"/>
        <s v="SET"/>
        <s v="OUT"/>
        <s v="NOV"/>
        <s v="DEZ"/>
        <m u="1"/>
        <s v="Ds" u="1"/>
        <s v="Fd" u="1"/>
        <s v="Dd" u="1"/>
        <s v="Fdfd" u="1"/>
        <s v="cxcx" u="1"/>
        <s v="Dsds" u="1"/>
      </sharedItems>
    </cacheField>
    <cacheField name="Ano" numFmtId="0">
      <sharedItems containsSemiMixedTypes="0" containsString="0" containsNumber="1" containsInteger="1" minValue="2017" maxValue="2025" count="7">
        <n v="2023"/>
        <n v="2024"/>
        <n v="2025"/>
        <n v="2019" u="1"/>
        <n v="2020" u="1"/>
        <n v="2021" u="1"/>
        <n v="2017" u="1"/>
      </sharedItems>
    </cacheField>
    <cacheField name="Reposição/Cobrar" numFmtId="0">
      <sharedItems containsBlank="1" count="6">
        <s v="Reposição"/>
        <s v="Cobrar"/>
        <s v="Devolução"/>
        <m u="1"/>
        <s v="ddd" u="1"/>
        <s v="fdfd" u="1"/>
      </sharedItems>
    </cacheField>
    <cacheField name="Quantidade" numFmtId="0">
      <sharedItems containsSemiMixedTypes="0" containsString="0" containsNumber="1" containsInteger="1" minValue="-24" maxValue="48"/>
    </cacheField>
    <cacheField name="Transportadora" numFmtId="0">
      <sharedItems containsBlank="1" count="69">
        <s v="TransCerto Entregas"/>
        <s v="Prime Cargo Express"/>
        <s v="Continental Express"/>
        <s v="Via Rápida Express"/>
        <s v="Expresso Horizonte"/>
        <s v="RotaSul Transportes"/>
        <s v="TransVale Logística"/>
        <s v="Caminho Forte Log"/>
        <s v="RodoMais Entregas"/>
        <s v="GlobalLine Transportes"/>
        <s v="Rápido Oeste"/>
        <s v="Alpha Transportes"/>
        <s v="LogiBrasil Transportes"/>
        <s v="Flecha Dourada Transportes"/>
        <s v="EcoTrans Logística Sustentável"/>
        <s v="Ponto Certo Transportes"/>
        <s v="Nova Rota Cargas"/>
        <s v="TransPorto Solutions"/>
        <s v="MaxVia Cargas e Distribuição"/>
        <s v="Cargas Nova Era"/>
        <s v="ViaNorte Logística"/>
        <s v="UniCargo Brasil"/>
        <s v="Estrela do Sul Transportes"/>
        <s v="TransLeste Logística Integrada"/>
        <s v="Veloz Express"/>
        <s v="Transparaguay"/>
        <s v="Atlas Cargo &amp; Logística"/>
        <s v="Montemorense" u="1"/>
        <s v="Lobo" u="1"/>
        <s v="Costa Teixeira" u="1"/>
        <s v="TransPrimo" u="1"/>
        <s v="DelPozo" u="1"/>
        <s v="MontCargas" u="1"/>
        <s v="Sigma" u="1"/>
        <s v="Buturi" u="1"/>
        <s v="MasterCargas" u="1"/>
        <s v="Ferrari" u="1"/>
        <s v="Martinelli" u="1"/>
        <s v="*" u="1"/>
        <s v="Fretespot (MBM)" u="1"/>
        <s v="Expresso Taubaté" u="1"/>
        <s v="Letsara" u="1"/>
        <s v="COVRE" u="1"/>
        <s v="GRV Log" u="1"/>
        <s v="Rodo Jacto" u="1"/>
        <s v="Grupo G10" u="1"/>
        <s v="Cargo Lift" u="1"/>
        <s v="TransPanorama" u="1"/>
        <s v="Tombini" u="1"/>
        <s v="Lobo " u="1"/>
        <s v="TransPrimo " u="1"/>
        <s v="DALFERR" u="1"/>
        <s v="PANORAMA " u="1"/>
        <s v="Transjoi" u="1"/>
        <s v="Jussara" u="1"/>
        <s v="Arildo" u="1"/>
        <m u="1"/>
        <s v="xcxc" u="1"/>
        <s v="Fd" u="1"/>
        <s v="Ddd" u="1"/>
        <s v="Apoio Transportes" u="1"/>
        <s v="Fdfd" u="1"/>
        <s v="Fdfdfd" u="1"/>
        <s v="Cxcx" u="1"/>
        <s v="??" u="1"/>
        <s v="Damco Brazil" u="1"/>
        <s v="Panorama" u="1"/>
        <s v="Dsds" u="1"/>
        <s v="Cootravale" u="1"/>
      </sharedItems>
    </cacheField>
    <cacheField name="Placa Cavalo" numFmtId="0">
      <sharedItems/>
    </cacheField>
    <cacheField name="Placa Carreta" numFmtId="0">
      <sharedItems/>
    </cacheField>
    <cacheField name="Nome  Motorista" numFmtId="0">
      <sharedItems/>
    </cacheField>
    <cacheField name="Conferente" numFmtId="0">
      <sharedItems containsBlank="1" count="33">
        <s v="Helena Duarte"/>
        <s v="Carolina Prado"/>
        <s v="Marina Tavares"/>
        <s v="Lucas Antunes"/>
        <s v="Caio Fernandes"/>
        <s v="Rafael Mendonça"/>
        <s v="Lívia Monteiro"/>
        <s v="Isabela Vasques"/>
        <s v="Sofia Ribeiro"/>
        <s v="Diego Amaral"/>
        <s v="Rodrigo Fernandes" u="1"/>
        <s v="Fernando Franceschini" u="1"/>
        <s v="Lucas Lupetti" u="1"/>
        <s v="Kleber Oliveira" u="1"/>
        <s v="Jaime Nicoleti" u="1"/>
        <s v="Claudio Campos" u="1"/>
        <s v="Dheison Bastos" u="1"/>
        <s v="Kleber Moreira" u="1"/>
        <s v="André Fahl" u="1"/>
        <s v="Devlim Coradelli" u="1"/>
        <s v="Edson Camargos" u="1"/>
        <s v="Kleber José Moreira" u="1"/>
        <s v="Kleber Manjavachi Oliveira" u="1"/>
        <m u="1"/>
        <s v="Fd" u="1"/>
        <s v="Fsfdf" u="1"/>
        <s v="Fdfdfdf" u="1"/>
        <s v="Fdfdfd" u="1"/>
        <s v="Cxcx" u="1"/>
        <s v="Dddd" u="1"/>
        <s v="??" u="1"/>
        <s v="Dssd" u="1"/>
        <s v="Dsds" u="1"/>
      </sharedItems>
    </cacheField>
    <cacheField name="Valor" numFmtId="0">
      <sharedItems containsSemiMixedTypes="0" containsString="0" containsNumber="1" minValue="-332.64" maxValue="665.28"/>
    </cacheField>
  </cacheFields>
  <extLst>
    <ext xmlns:x14="http://schemas.microsoft.com/office/spreadsheetml/2009/9/main" uri="{725AE2AE-9491-48be-B2B4-4EB974FC3084}">
      <x14:pivotCacheDefinition pivotCacheId="8491262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4">
  <r>
    <d v="2023-01-02T00:00:00"/>
    <x v="0"/>
    <x v="0"/>
    <x v="0"/>
    <n v="5"/>
    <x v="0"/>
    <s v="*"/>
    <s v="*"/>
    <s v="*"/>
    <x v="0"/>
    <n v="43.25"/>
  </r>
  <r>
    <d v="2023-01-02T00:00:00"/>
    <x v="0"/>
    <x v="0"/>
    <x v="1"/>
    <n v="24"/>
    <x v="1"/>
    <s v="*"/>
    <s v="*"/>
    <s v="*"/>
    <x v="1"/>
    <n v="207.60000000000002"/>
  </r>
  <r>
    <d v="2023-01-04T00:00:00"/>
    <x v="0"/>
    <x v="0"/>
    <x v="0"/>
    <n v="2"/>
    <x v="1"/>
    <s v="*"/>
    <s v="*"/>
    <s v="*"/>
    <x v="0"/>
    <n v="17.3"/>
  </r>
  <r>
    <d v="2023-01-05T00:00:00"/>
    <x v="0"/>
    <x v="0"/>
    <x v="0"/>
    <n v="4"/>
    <x v="2"/>
    <s v="*"/>
    <s v="*"/>
    <s v="*"/>
    <x v="1"/>
    <n v="34.6"/>
  </r>
  <r>
    <d v="2023-01-05T00:00:00"/>
    <x v="0"/>
    <x v="0"/>
    <x v="1"/>
    <n v="1"/>
    <x v="2"/>
    <s v="*"/>
    <s v="*"/>
    <s v="*"/>
    <x v="1"/>
    <n v="8.65"/>
  </r>
  <r>
    <d v="2023-01-11T00:00:00"/>
    <x v="0"/>
    <x v="0"/>
    <x v="1"/>
    <n v="11"/>
    <x v="0"/>
    <s v="*"/>
    <s v="*"/>
    <s v="*"/>
    <x v="1"/>
    <n v="95.15"/>
  </r>
  <r>
    <d v="2023-01-11T00:00:00"/>
    <x v="0"/>
    <x v="0"/>
    <x v="1"/>
    <n v="2"/>
    <x v="3"/>
    <s v="*"/>
    <s v="*"/>
    <s v="*"/>
    <x v="1"/>
    <n v="17.3"/>
  </r>
  <r>
    <d v="2023-01-15T00:00:00"/>
    <x v="0"/>
    <x v="0"/>
    <x v="1"/>
    <n v="26"/>
    <x v="4"/>
    <s v="*"/>
    <s v="*"/>
    <s v="*"/>
    <x v="2"/>
    <n v="224.9"/>
  </r>
  <r>
    <d v="2023-01-15T00:00:00"/>
    <x v="0"/>
    <x v="0"/>
    <x v="1"/>
    <n v="2"/>
    <x v="2"/>
    <s v="*"/>
    <s v="*"/>
    <s v="*"/>
    <x v="3"/>
    <n v="17.3"/>
  </r>
  <r>
    <d v="2023-01-17T00:00:00"/>
    <x v="0"/>
    <x v="0"/>
    <x v="1"/>
    <n v="3"/>
    <x v="0"/>
    <s v="*"/>
    <s v="*"/>
    <s v="*"/>
    <x v="1"/>
    <n v="25.950000000000003"/>
  </r>
  <r>
    <d v="2023-01-22T00:00:00"/>
    <x v="0"/>
    <x v="0"/>
    <x v="1"/>
    <n v="26"/>
    <x v="4"/>
    <s v="*"/>
    <s v="*"/>
    <s v="*"/>
    <x v="0"/>
    <n v="224.9"/>
  </r>
  <r>
    <d v="2023-01-22T00:00:00"/>
    <x v="0"/>
    <x v="0"/>
    <x v="0"/>
    <n v="5"/>
    <x v="4"/>
    <s v="*"/>
    <s v="*"/>
    <s v="*"/>
    <x v="0"/>
    <n v="43.25"/>
  </r>
  <r>
    <d v="2023-01-23T00:00:00"/>
    <x v="0"/>
    <x v="0"/>
    <x v="1"/>
    <n v="6"/>
    <x v="5"/>
    <s v="*"/>
    <s v="*"/>
    <s v="*"/>
    <x v="3"/>
    <n v="51.900000000000006"/>
  </r>
  <r>
    <d v="2023-01-23T00:00:00"/>
    <x v="0"/>
    <x v="0"/>
    <x v="0"/>
    <n v="2"/>
    <x v="5"/>
    <s v="*"/>
    <s v="*"/>
    <s v="*"/>
    <x v="3"/>
    <n v="17.3"/>
  </r>
  <r>
    <d v="2023-01-23T00:00:00"/>
    <x v="0"/>
    <x v="0"/>
    <x v="1"/>
    <n v="13"/>
    <x v="2"/>
    <s v="*"/>
    <s v="*"/>
    <s v="*"/>
    <x v="3"/>
    <n v="112.45"/>
  </r>
  <r>
    <d v="2023-01-24T00:00:00"/>
    <x v="0"/>
    <x v="0"/>
    <x v="1"/>
    <n v="24"/>
    <x v="6"/>
    <s v="*"/>
    <s v="*"/>
    <s v="*"/>
    <x v="4"/>
    <n v="207.60000000000002"/>
  </r>
  <r>
    <d v="2023-01-24T00:00:00"/>
    <x v="0"/>
    <x v="0"/>
    <x v="1"/>
    <n v="24"/>
    <x v="6"/>
    <s v="*"/>
    <s v="*"/>
    <s v="*"/>
    <x v="4"/>
    <n v="207.60000000000002"/>
  </r>
  <r>
    <d v="2023-01-24T00:00:00"/>
    <x v="0"/>
    <x v="0"/>
    <x v="1"/>
    <n v="26"/>
    <x v="6"/>
    <s v="*"/>
    <s v="*"/>
    <s v="*"/>
    <x v="4"/>
    <n v="224.9"/>
  </r>
  <r>
    <d v="2023-01-26T00:00:00"/>
    <x v="0"/>
    <x v="0"/>
    <x v="0"/>
    <n v="3"/>
    <x v="2"/>
    <s v="*"/>
    <s v="*"/>
    <s v="*"/>
    <x v="1"/>
    <n v="25.950000000000003"/>
  </r>
  <r>
    <d v="2023-01-26T00:00:00"/>
    <x v="0"/>
    <x v="0"/>
    <x v="1"/>
    <n v="1"/>
    <x v="2"/>
    <s v="*"/>
    <s v="*"/>
    <s v="*"/>
    <x v="1"/>
    <n v="8.65"/>
  </r>
  <r>
    <d v="2023-01-31T00:00:00"/>
    <x v="0"/>
    <x v="0"/>
    <x v="0"/>
    <n v="4"/>
    <x v="2"/>
    <s v="*"/>
    <s v="*"/>
    <s v="*"/>
    <x v="4"/>
    <n v="34.6"/>
  </r>
  <r>
    <d v="2023-01-31T00:00:00"/>
    <x v="0"/>
    <x v="0"/>
    <x v="0"/>
    <n v="2"/>
    <x v="3"/>
    <s v="*"/>
    <s v="*"/>
    <s v="*"/>
    <x v="4"/>
    <n v="17.3"/>
  </r>
  <r>
    <d v="2023-01-31T00:00:00"/>
    <x v="0"/>
    <x v="0"/>
    <x v="0"/>
    <n v="1"/>
    <x v="3"/>
    <s v="*"/>
    <s v="*"/>
    <s v="*"/>
    <x v="3"/>
    <n v="8.65"/>
  </r>
  <r>
    <d v="2023-01-31T00:00:00"/>
    <x v="0"/>
    <x v="0"/>
    <x v="1"/>
    <n v="4"/>
    <x v="3"/>
    <s v="*"/>
    <s v="*"/>
    <s v="*"/>
    <x v="3"/>
    <n v="34.6"/>
  </r>
  <r>
    <d v="2023-01-31T00:00:00"/>
    <x v="0"/>
    <x v="0"/>
    <x v="1"/>
    <n v="3"/>
    <x v="0"/>
    <s v="*"/>
    <s v="*"/>
    <s v="*"/>
    <x v="1"/>
    <n v="25.950000000000003"/>
  </r>
  <r>
    <d v="2023-02-02T00:00:00"/>
    <x v="1"/>
    <x v="0"/>
    <x v="1"/>
    <n v="9"/>
    <x v="2"/>
    <s v="*"/>
    <s v="*"/>
    <s v="*"/>
    <x v="3"/>
    <n v="77.850000000000009"/>
  </r>
  <r>
    <d v="2023-02-02T00:00:00"/>
    <x v="1"/>
    <x v="0"/>
    <x v="1"/>
    <n v="11"/>
    <x v="2"/>
    <s v="*"/>
    <s v="*"/>
    <s v="*"/>
    <x v="3"/>
    <n v="95.15"/>
  </r>
  <r>
    <d v="2023-02-04T00:00:00"/>
    <x v="1"/>
    <x v="0"/>
    <x v="1"/>
    <n v="24"/>
    <x v="6"/>
    <s v="*"/>
    <s v="*"/>
    <s v="*"/>
    <x v="5"/>
    <n v="207.60000000000002"/>
  </r>
  <r>
    <d v="2023-02-04T00:00:00"/>
    <x v="1"/>
    <x v="0"/>
    <x v="1"/>
    <n v="24"/>
    <x v="6"/>
    <s v="*"/>
    <s v="*"/>
    <s v="*"/>
    <x v="5"/>
    <n v="207.60000000000002"/>
  </r>
  <r>
    <d v="2023-02-05T00:00:00"/>
    <x v="1"/>
    <x v="0"/>
    <x v="1"/>
    <n v="24"/>
    <x v="6"/>
    <s v="*"/>
    <s v="*"/>
    <s v="*"/>
    <x v="2"/>
    <n v="207.60000000000002"/>
  </r>
  <r>
    <d v="2023-02-05T00:00:00"/>
    <x v="1"/>
    <x v="0"/>
    <x v="1"/>
    <n v="26"/>
    <x v="3"/>
    <s v="*"/>
    <s v="*"/>
    <s v="*"/>
    <x v="0"/>
    <n v="224.9"/>
  </r>
  <r>
    <d v="2023-02-09T00:00:00"/>
    <x v="1"/>
    <x v="0"/>
    <x v="1"/>
    <n v="12"/>
    <x v="1"/>
    <s v="*"/>
    <s v="*"/>
    <s v="*"/>
    <x v="0"/>
    <n v="103.80000000000001"/>
  </r>
  <r>
    <d v="2023-02-11T00:00:00"/>
    <x v="1"/>
    <x v="0"/>
    <x v="0"/>
    <n v="4"/>
    <x v="2"/>
    <s v="*"/>
    <s v="*"/>
    <s v="*"/>
    <x v="1"/>
    <n v="34.6"/>
  </r>
  <r>
    <d v="2023-02-11T00:00:00"/>
    <x v="1"/>
    <x v="0"/>
    <x v="0"/>
    <n v="3"/>
    <x v="4"/>
    <s v="*"/>
    <s v="*"/>
    <s v="*"/>
    <x v="1"/>
    <n v="25.950000000000003"/>
  </r>
  <r>
    <d v="2023-02-11T00:00:00"/>
    <x v="1"/>
    <x v="0"/>
    <x v="1"/>
    <n v="26"/>
    <x v="3"/>
    <s v="*"/>
    <s v="*"/>
    <s v="*"/>
    <x v="0"/>
    <n v="224.9"/>
  </r>
  <r>
    <d v="2023-02-12T00:00:00"/>
    <x v="1"/>
    <x v="0"/>
    <x v="0"/>
    <n v="8"/>
    <x v="2"/>
    <s v="*"/>
    <s v="*"/>
    <s v="*"/>
    <x v="5"/>
    <n v="69.2"/>
  </r>
  <r>
    <d v="2023-02-13T00:00:00"/>
    <x v="1"/>
    <x v="0"/>
    <x v="1"/>
    <n v="1"/>
    <x v="3"/>
    <s v="*"/>
    <s v="*"/>
    <s v="*"/>
    <x v="2"/>
    <n v="8.65"/>
  </r>
  <r>
    <d v="2023-02-15T00:00:00"/>
    <x v="1"/>
    <x v="0"/>
    <x v="0"/>
    <n v="4"/>
    <x v="2"/>
    <s v="*"/>
    <s v="*"/>
    <s v="*"/>
    <x v="5"/>
    <n v="34.6"/>
  </r>
  <r>
    <d v="2023-02-16T00:00:00"/>
    <x v="1"/>
    <x v="0"/>
    <x v="0"/>
    <n v="4"/>
    <x v="2"/>
    <s v="*"/>
    <s v="*"/>
    <s v="*"/>
    <x v="2"/>
    <n v="34.6"/>
  </r>
  <r>
    <d v="2023-02-19T00:00:00"/>
    <x v="1"/>
    <x v="0"/>
    <x v="1"/>
    <n v="1"/>
    <x v="2"/>
    <s v="*"/>
    <s v="*"/>
    <s v="*"/>
    <x v="1"/>
    <n v="8.65"/>
  </r>
  <r>
    <d v="2023-02-19T00:00:00"/>
    <x v="1"/>
    <x v="0"/>
    <x v="0"/>
    <n v="2"/>
    <x v="2"/>
    <s v="*"/>
    <s v="*"/>
    <s v="*"/>
    <x v="1"/>
    <n v="17.3"/>
  </r>
  <r>
    <d v="2023-02-19T00:00:00"/>
    <x v="1"/>
    <x v="0"/>
    <x v="1"/>
    <n v="10"/>
    <x v="3"/>
    <s v="*"/>
    <s v="*"/>
    <s v="*"/>
    <x v="6"/>
    <n v="86.5"/>
  </r>
  <r>
    <d v="2023-02-20T00:00:00"/>
    <x v="1"/>
    <x v="0"/>
    <x v="1"/>
    <n v="26"/>
    <x v="3"/>
    <s v="*"/>
    <s v="*"/>
    <s v="*"/>
    <x v="6"/>
    <n v="224.9"/>
  </r>
  <r>
    <d v="2023-02-20T00:00:00"/>
    <x v="1"/>
    <x v="0"/>
    <x v="0"/>
    <n v="1"/>
    <x v="4"/>
    <s v="*"/>
    <s v="*"/>
    <s v="*"/>
    <x v="1"/>
    <n v="8.65"/>
  </r>
  <r>
    <d v="2023-02-21T00:00:00"/>
    <x v="1"/>
    <x v="0"/>
    <x v="1"/>
    <n v="14"/>
    <x v="1"/>
    <s v="*"/>
    <s v="*"/>
    <s v="*"/>
    <x v="2"/>
    <n v="121.10000000000001"/>
  </r>
  <r>
    <d v="2023-02-22T00:00:00"/>
    <x v="1"/>
    <x v="0"/>
    <x v="1"/>
    <n v="12"/>
    <x v="1"/>
    <s v="*"/>
    <s v="*"/>
    <s v="*"/>
    <x v="0"/>
    <n v="103.80000000000001"/>
  </r>
  <r>
    <d v="2023-02-23T00:00:00"/>
    <x v="1"/>
    <x v="0"/>
    <x v="1"/>
    <n v="24"/>
    <x v="6"/>
    <s v="*"/>
    <s v="*"/>
    <s v="*"/>
    <x v="5"/>
    <n v="207.60000000000002"/>
  </r>
  <r>
    <d v="2023-02-24T00:00:00"/>
    <x v="1"/>
    <x v="0"/>
    <x v="1"/>
    <n v="1"/>
    <x v="3"/>
    <s v="*"/>
    <s v="*"/>
    <s v="*"/>
    <x v="1"/>
    <n v="8.65"/>
  </r>
  <r>
    <d v="2023-02-25T00:00:00"/>
    <x v="1"/>
    <x v="0"/>
    <x v="0"/>
    <n v="2"/>
    <x v="2"/>
    <s v="*"/>
    <s v="*"/>
    <s v="*"/>
    <x v="2"/>
    <n v="17.3"/>
  </r>
  <r>
    <d v="2023-02-27T00:00:00"/>
    <x v="1"/>
    <x v="0"/>
    <x v="1"/>
    <n v="26"/>
    <x v="4"/>
    <s v="*"/>
    <s v="*"/>
    <s v="*"/>
    <x v="6"/>
    <n v="224.9"/>
  </r>
  <r>
    <d v="2023-02-28T00:00:00"/>
    <x v="1"/>
    <x v="0"/>
    <x v="0"/>
    <n v="4"/>
    <x v="3"/>
    <s v="*"/>
    <s v="*"/>
    <s v="*"/>
    <x v="0"/>
    <n v="34.6"/>
  </r>
  <r>
    <d v="2023-02-28T00:00:00"/>
    <x v="1"/>
    <x v="0"/>
    <x v="1"/>
    <n v="16"/>
    <x v="3"/>
    <s v="*"/>
    <s v="*"/>
    <s v="*"/>
    <x v="2"/>
    <n v="138.4"/>
  </r>
  <r>
    <d v="2023-03-04T00:00:00"/>
    <x v="2"/>
    <x v="0"/>
    <x v="0"/>
    <n v="6"/>
    <x v="4"/>
    <s v="*"/>
    <s v="*"/>
    <s v="*"/>
    <x v="5"/>
    <n v="54.54"/>
  </r>
  <r>
    <d v="2023-03-05T00:00:00"/>
    <x v="2"/>
    <x v="0"/>
    <x v="0"/>
    <n v="6"/>
    <x v="2"/>
    <s v="*"/>
    <s v="*"/>
    <s v="*"/>
    <x v="5"/>
    <n v="54.54"/>
  </r>
  <r>
    <d v="2023-03-05T00:00:00"/>
    <x v="2"/>
    <x v="0"/>
    <x v="0"/>
    <n v="1"/>
    <x v="4"/>
    <s v="*"/>
    <s v="*"/>
    <s v="*"/>
    <x v="3"/>
    <n v="9.09"/>
  </r>
  <r>
    <d v="2023-03-05T00:00:00"/>
    <x v="2"/>
    <x v="0"/>
    <x v="0"/>
    <n v="3"/>
    <x v="2"/>
    <s v="*"/>
    <s v="*"/>
    <s v="*"/>
    <x v="3"/>
    <n v="27.27"/>
  </r>
  <r>
    <d v="2023-03-07T00:00:00"/>
    <x v="2"/>
    <x v="0"/>
    <x v="1"/>
    <n v="26"/>
    <x v="4"/>
    <s v="*"/>
    <s v="*"/>
    <s v="*"/>
    <x v="6"/>
    <n v="236.34"/>
  </r>
  <r>
    <d v="2023-03-07T00:00:00"/>
    <x v="2"/>
    <x v="0"/>
    <x v="1"/>
    <n v="26"/>
    <x v="4"/>
    <s v="*"/>
    <s v="*"/>
    <s v="*"/>
    <x v="6"/>
    <n v="236.34"/>
  </r>
  <r>
    <d v="2023-03-07T00:00:00"/>
    <x v="2"/>
    <x v="0"/>
    <x v="1"/>
    <n v="24"/>
    <x v="4"/>
    <s v="*"/>
    <s v="*"/>
    <s v="*"/>
    <x v="3"/>
    <n v="218.16"/>
  </r>
  <r>
    <d v="2023-03-09T00:00:00"/>
    <x v="2"/>
    <x v="0"/>
    <x v="0"/>
    <n v="3"/>
    <x v="2"/>
    <s v="*"/>
    <s v="*"/>
    <s v="*"/>
    <x v="3"/>
    <n v="27.27"/>
  </r>
  <r>
    <d v="2023-03-10T00:00:00"/>
    <x v="2"/>
    <x v="0"/>
    <x v="1"/>
    <n v="6"/>
    <x v="2"/>
    <s v="*"/>
    <s v="*"/>
    <s v="*"/>
    <x v="0"/>
    <n v="54.54"/>
  </r>
  <r>
    <d v="2023-03-11T00:00:00"/>
    <x v="2"/>
    <x v="0"/>
    <x v="1"/>
    <n v="28"/>
    <x v="4"/>
    <s v="*"/>
    <s v="*"/>
    <s v="*"/>
    <x v="1"/>
    <n v="254.51999999999998"/>
  </r>
  <r>
    <d v="2023-03-12T00:00:00"/>
    <x v="2"/>
    <x v="0"/>
    <x v="1"/>
    <n v="28"/>
    <x v="4"/>
    <s v="*"/>
    <s v="*"/>
    <s v="*"/>
    <x v="0"/>
    <n v="254.51999999999998"/>
  </r>
  <r>
    <d v="2023-03-12T00:00:00"/>
    <x v="2"/>
    <x v="0"/>
    <x v="0"/>
    <n v="4"/>
    <x v="2"/>
    <s v="*"/>
    <s v="*"/>
    <s v="*"/>
    <x v="0"/>
    <n v="36.36"/>
  </r>
  <r>
    <d v="2023-03-14T00:00:00"/>
    <x v="2"/>
    <x v="0"/>
    <x v="1"/>
    <n v="26"/>
    <x v="4"/>
    <s v="*"/>
    <s v="*"/>
    <s v="*"/>
    <x v="2"/>
    <n v="236.34"/>
  </r>
  <r>
    <d v="2023-03-14T00:00:00"/>
    <x v="2"/>
    <x v="0"/>
    <x v="0"/>
    <n v="1"/>
    <x v="4"/>
    <s v="*"/>
    <s v="*"/>
    <s v="*"/>
    <x v="1"/>
    <n v="9.09"/>
  </r>
  <r>
    <d v="2023-03-17T00:00:00"/>
    <x v="2"/>
    <x v="0"/>
    <x v="0"/>
    <n v="1"/>
    <x v="2"/>
    <s v="*"/>
    <s v="*"/>
    <s v="*"/>
    <x v="1"/>
    <n v="9.09"/>
  </r>
  <r>
    <d v="2023-03-17T00:00:00"/>
    <x v="2"/>
    <x v="0"/>
    <x v="1"/>
    <n v="28"/>
    <x v="4"/>
    <s v="*"/>
    <s v="*"/>
    <s v="*"/>
    <x v="3"/>
    <n v="254.51999999999998"/>
  </r>
  <r>
    <d v="2023-03-20T00:00:00"/>
    <x v="2"/>
    <x v="0"/>
    <x v="1"/>
    <n v="1"/>
    <x v="4"/>
    <s v="*"/>
    <s v="*"/>
    <s v="*"/>
    <x v="2"/>
    <n v="9.09"/>
  </r>
  <r>
    <d v="2023-03-20T00:00:00"/>
    <x v="2"/>
    <x v="0"/>
    <x v="0"/>
    <n v="10"/>
    <x v="2"/>
    <s v="*"/>
    <s v="*"/>
    <s v="*"/>
    <x v="5"/>
    <n v="90.9"/>
  </r>
  <r>
    <d v="2023-03-21T00:00:00"/>
    <x v="2"/>
    <x v="0"/>
    <x v="0"/>
    <n v="3"/>
    <x v="3"/>
    <s v="*"/>
    <s v="*"/>
    <s v="*"/>
    <x v="2"/>
    <n v="27.27"/>
  </r>
  <r>
    <d v="2023-03-23T00:00:00"/>
    <x v="2"/>
    <x v="0"/>
    <x v="0"/>
    <n v="1"/>
    <x v="5"/>
    <s v="*"/>
    <s v="*"/>
    <s v="*"/>
    <x v="3"/>
    <n v="9.09"/>
  </r>
  <r>
    <d v="2023-03-25T00:00:00"/>
    <x v="2"/>
    <x v="0"/>
    <x v="1"/>
    <n v="4"/>
    <x v="2"/>
    <s v="*"/>
    <s v="*"/>
    <s v="*"/>
    <x v="3"/>
    <n v="36.36"/>
  </r>
  <r>
    <d v="2023-03-26T00:00:00"/>
    <x v="2"/>
    <x v="0"/>
    <x v="0"/>
    <n v="5"/>
    <x v="7"/>
    <s v="*"/>
    <s v="*"/>
    <s v="*"/>
    <x v="5"/>
    <n v="45.45"/>
  </r>
  <r>
    <d v="2023-03-28T00:00:00"/>
    <x v="2"/>
    <x v="0"/>
    <x v="0"/>
    <n v="2"/>
    <x v="0"/>
    <s v="*"/>
    <s v="*"/>
    <s v="*"/>
    <x v="5"/>
    <n v="18.18"/>
  </r>
  <r>
    <d v="2023-03-28T00:00:00"/>
    <x v="2"/>
    <x v="0"/>
    <x v="0"/>
    <n v="28"/>
    <x v="5"/>
    <s v="*"/>
    <s v="*"/>
    <s v="*"/>
    <x v="3"/>
    <n v="254.51999999999998"/>
  </r>
  <r>
    <d v="2023-03-28T00:00:00"/>
    <x v="2"/>
    <x v="0"/>
    <x v="0"/>
    <n v="4"/>
    <x v="5"/>
    <s v="*"/>
    <s v="*"/>
    <s v="*"/>
    <x v="3"/>
    <n v="36.36"/>
  </r>
  <r>
    <d v="2023-03-28T00:00:00"/>
    <x v="2"/>
    <x v="0"/>
    <x v="1"/>
    <n v="1"/>
    <x v="0"/>
    <s v="*"/>
    <s v="*"/>
    <s v="*"/>
    <x v="3"/>
    <n v="9.09"/>
  </r>
  <r>
    <d v="2023-03-28T00:00:00"/>
    <x v="2"/>
    <x v="0"/>
    <x v="0"/>
    <n v="3"/>
    <x v="0"/>
    <s v="*"/>
    <s v="*"/>
    <s v="*"/>
    <x v="3"/>
    <n v="27.27"/>
  </r>
  <r>
    <d v="2023-03-28T00:00:00"/>
    <x v="2"/>
    <x v="0"/>
    <x v="0"/>
    <n v="5"/>
    <x v="2"/>
    <s v="*"/>
    <s v="*"/>
    <s v="*"/>
    <x v="5"/>
    <n v="45.45"/>
  </r>
  <r>
    <d v="2023-03-28T00:00:00"/>
    <x v="2"/>
    <x v="0"/>
    <x v="0"/>
    <n v="1"/>
    <x v="0"/>
    <s v="*"/>
    <s v="*"/>
    <s v="*"/>
    <x v="5"/>
    <n v="9.09"/>
  </r>
  <r>
    <d v="2023-03-31T00:00:00"/>
    <x v="2"/>
    <x v="0"/>
    <x v="0"/>
    <n v="4"/>
    <x v="2"/>
    <s v="*"/>
    <s v="*"/>
    <s v="*"/>
    <x v="2"/>
    <n v="36.36"/>
  </r>
  <r>
    <d v="2023-03-31T00:00:00"/>
    <x v="2"/>
    <x v="0"/>
    <x v="0"/>
    <n v="5"/>
    <x v="4"/>
    <s v="*"/>
    <s v="*"/>
    <s v="*"/>
    <x v="2"/>
    <n v="45.45"/>
  </r>
  <r>
    <d v="2023-03-31T00:00:00"/>
    <x v="2"/>
    <x v="0"/>
    <x v="0"/>
    <n v="2"/>
    <x v="2"/>
    <s v="*"/>
    <s v="*"/>
    <s v="*"/>
    <x v="2"/>
    <n v="18.18"/>
  </r>
  <r>
    <d v="2023-03-31T00:00:00"/>
    <x v="2"/>
    <x v="0"/>
    <x v="1"/>
    <n v="12"/>
    <x v="7"/>
    <s v="*"/>
    <s v="*"/>
    <s v="*"/>
    <x v="3"/>
    <n v="109.08"/>
  </r>
  <r>
    <d v="2023-03-31T00:00:00"/>
    <x v="2"/>
    <x v="0"/>
    <x v="1"/>
    <n v="8"/>
    <x v="0"/>
    <s v="*"/>
    <s v="*"/>
    <s v="*"/>
    <x v="3"/>
    <n v="72.72"/>
  </r>
  <r>
    <d v="2023-04-03T00:00:00"/>
    <x v="3"/>
    <x v="0"/>
    <x v="0"/>
    <n v="2"/>
    <x v="5"/>
    <s v="*"/>
    <s v="*"/>
    <s v="*"/>
    <x v="3"/>
    <n v="18.18"/>
  </r>
  <r>
    <d v="2023-04-04T00:00:00"/>
    <x v="3"/>
    <x v="0"/>
    <x v="1"/>
    <n v="14"/>
    <x v="2"/>
    <s v="*"/>
    <s v="*"/>
    <s v="*"/>
    <x v="5"/>
    <n v="127.25999999999999"/>
  </r>
  <r>
    <d v="2023-04-04T00:00:00"/>
    <x v="3"/>
    <x v="0"/>
    <x v="1"/>
    <n v="5"/>
    <x v="4"/>
    <s v="*"/>
    <s v="*"/>
    <s v="*"/>
    <x v="2"/>
    <n v="45.45"/>
  </r>
  <r>
    <d v="2023-04-05T00:00:00"/>
    <x v="3"/>
    <x v="0"/>
    <x v="0"/>
    <n v="5"/>
    <x v="2"/>
    <s v="*"/>
    <s v="*"/>
    <s v="*"/>
    <x v="2"/>
    <n v="45.45"/>
  </r>
  <r>
    <d v="2023-04-06T00:00:00"/>
    <x v="3"/>
    <x v="0"/>
    <x v="0"/>
    <n v="1"/>
    <x v="2"/>
    <s v="*"/>
    <s v="*"/>
    <s v="*"/>
    <x v="1"/>
    <n v="9.09"/>
  </r>
  <r>
    <d v="2023-04-06T00:00:00"/>
    <x v="3"/>
    <x v="0"/>
    <x v="1"/>
    <n v="3"/>
    <x v="2"/>
    <s v="*"/>
    <s v="*"/>
    <s v="*"/>
    <x v="1"/>
    <n v="27.27"/>
  </r>
  <r>
    <d v="2023-04-07T00:00:00"/>
    <x v="3"/>
    <x v="0"/>
    <x v="0"/>
    <n v="1"/>
    <x v="4"/>
    <s v="*"/>
    <s v="*"/>
    <s v="*"/>
    <x v="5"/>
    <n v="9.09"/>
  </r>
  <r>
    <d v="2023-04-08T00:00:00"/>
    <x v="3"/>
    <x v="0"/>
    <x v="1"/>
    <n v="3"/>
    <x v="0"/>
    <s v="*"/>
    <s v="*"/>
    <s v="*"/>
    <x v="3"/>
    <n v="27.27"/>
  </r>
  <r>
    <d v="2023-04-09T00:00:00"/>
    <x v="3"/>
    <x v="0"/>
    <x v="0"/>
    <n v="4"/>
    <x v="5"/>
    <s v="*"/>
    <s v="*"/>
    <s v="*"/>
    <x v="3"/>
    <n v="36.36"/>
  </r>
  <r>
    <d v="2023-04-10T00:00:00"/>
    <x v="3"/>
    <x v="0"/>
    <x v="1"/>
    <n v="13"/>
    <x v="2"/>
    <s v="*"/>
    <s v="*"/>
    <s v="*"/>
    <x v="0"/>
    <n v="118.17"/>
  </r>
  <r>
    <d v="2023-04-10T00:00:00"/>
    <x v="3"/>
    <x v="0"/>
    <x v="1"/>
    <n v="1"/>
    <x v="5"/>
    <s v="*"/>
    <s v="*"/>
    <s v="*"/>
    <x v="3"/>
    <n v="9.09"/>
  </r>
  <r>
    <d v="2023-04-10T00:00:00"/>
    <x v="3"/>
    <x v="0"/>
    <x v="0"/>
    <n v="1"/>
    <x v="5"/>
    <s v="*"/>
    <s v="*"/>
    <s v="*"/>
    <x v="3"/>
    <n v="9.09"/>
  </r>
  <r>
    <d v="2023-04-11T00:00:00"/>
    <x v="3"/>
    <x v="0"/>
    <x v="1"/>
    <n v="4"/>
    <x v="4"/>
    <s v="*"/>
    <s v="*"/>
    <s v="*"/>
    <x v="3"/>
    <n v="36.36"/>
  </r>
  <r>
    <d v="2023-04-11T00:00:00"/>
    <x v="3"/>
    <x v="0"/>
    <x v="1"/>
    <n v="26"/>
    <x v="4"/>
    <s v="*"/>
    <s v="*"/>
    <s v="*"/>
    <x v="1"/>
    <n v="236.34"/>
  </r>
  <r>
    <d v="2023-04-11T00:00:00"/>
    <x v="3"/>
    <x v="0"/>
    <x v="1"/>
    <n v="26"/>
    <x v="4"/>
    <s v="*"/>
    <s v="*"/>
    <s v="*"/>
    <x v="2"/>
    <n v="236.34"/>
  </r>
  <r>
    <d v="2023-04-13T00:00:00"/>
    <x v="3"/>
    <x v="0"/>
    <x v="0"/>
    <n v="4"/>
    <x v="2"/>
    <s v="*"/>
    <s v="*"/>
    <s v="*"/>
    <x v="1"/>
    <n v="36.36"/>
  </r>
  <r>
    <d v="2023-04-13T00:00:00"/>
    <x v="3"/>
    <x v="0"/>
    <x v="0"/>
    <n v="5"/>
    <x v="0"/>
    <s v="*"/>
    <s v="*"/>
    <s v="*"/>
    <x v="5"/>
    <n v="45.45"/>
  </r>
  <r>
    <d v="2023-04-15T00:00:00"/>
    <x v="3"/>
    <x v="0"/>
    <x v="1"/>
    <n v="3"/>
    <x v="6"/>
    <s v="*"/>
    <s v="*"/>
    <s v="*"/>
    <x v="5"/>
    <n v="27.27"/>
  </r>
  <r>
    <d v="2023-04-16T00:00:00"/>
    <x v="3"/>
    <x v="0"/>
    <x v="0"/>
    <n v="2"/>
    <x v="2"/>
    <s v="*"/>
    <s v="*"/>
    <s v="*"/>
    <x v="3"/>
    <n v="18.18"/>
  </r>
  <r>
    <d v="2023-04-17T00:00:00"/>
    <x v="3"/>
    <x v="0"/>
    <x v="1"/>
    <n v="26"/>
    <x v="4"/>
    <s v="*"/>
    <s v="*"/>
    <s v="*"/>
    <x v="2"/>
    <n v="236.34"/>
  </r>
  <r>
    <d v="2023-04-17T00:00:00"/>
    <x v="3"/>
    <x v="0"/>
    <x v="1"/>
    <n v="2"/>
    <x v="7"/>
    <s v="*"/>
    <s v="*"/>
    <s v="*"/>
    <x v="3"/>
    <n v="18.18"/>
  </r>
  <r>
    <d v="2023-04-17T00:00:00"/>
    <x v="3"/>
    <x v="0"/>
    <x v="1"/>
    <n v="1"/>
    <x v="2"/>
    <s v="*"/>
    <s v="*"/>
    <s v="*"/>
    <x v="3"/>
    <n v="9.09"/>
  </r>
  <r>
    <d v="2023-04-17T00:00:00"/>
    <x v="3"/>
    <x v="0"/>
    <x v="0"/>
    <n v="1"/>
    <x v="2"/>
    <s v="*"/>
    <s v="*"/>
    <s v="*"/>
    <x v="3"/>
    <n v="9.09"/>
  </r>
  <r>
    <d v="2023-04-18T00:00:00"/>
    <x v="3"/>
    <x v="0"/>
    <x v="0"/>
    <n v="2"/>
    <x v="3"/>
    <s v="*"/>
    <s v="*"/>
    <s v="*"/>
    <x v="2"/>
    <n v="18.18"/>
  </r>
  <r>
    <d v="2023-04-18T00:00:00"/>
    <x v="3"/>
    <x v="0"/>
    <x v="0"/>
    <n v="1"/>
    <x v="2"/>
    <s v="*"/>
    <s v="*"/>
    <s v="*"/>
    <x v="0"/>
    <n v="9.09"/>
  </r>
  <r>
    <d v="2023-04-18T00:00:00"/>
    <x v="3"/>
    <x v="0"/>
    <x v="1"/>
    <n v="1"/>
    <x v="2"/>
    <s v="*"/>
    <s v="*"/>
    <s v="*"/>
    <x v="0"/>
    <n v="9.09"/>
  </r>
  <r>
    <d v="2023-04-18T00:00:00"/>
    <x v="3"/>
    <x v="0"/>
    <x v="1"/>
    <n v="26"/>
    <x v="4"/>
    <s v="*"/>
    <s v="*"/>
    <s v="*"/>
    <x v="2"/>
    <n v="236.34"/>
  </r>
  <r>
    <d v="2023-04-19T00:00:00"/>
    <x v="3"/>
    <x v="0"/>
    <x v="1"/>
    <n v="2"/>
    <x v="2"/>
    <s v="*"/>
    <s v="*"/>
    <s v="*"/>
    <x v="2"/>
    <n v="18.18"/>
  </r>
  <r>
    <d v="2023-04-21T00:00:00"/>
    <x v="3"/>
    <x v="0"/>
    <x v="1"/>
    <n v="26"/>
    <x v="0"/>
    <s v="*"/>
    <s v="*"/>
    <s v="*"/>
    <x v="2"/>
    <n v="236.34"/>
  </r>
  <r>
    <d v="2023-04-21T00:00:00"/>
    <x v="3"/>
    <x v="0"/>
    <x v="1"/>
    <n v="2"/>
    <x v="4"/>
    <s v="*"/>
    <s v="*"/>
    <s v="*"/>
    <x v="3"/>
    <n v="18.18"/>
  </r>
  <r>
    <d v="2023-04-21T00:00:00"/>
    <x v="3"/>
    <x v="0"/>
    <x v="1"/>
    <n v="26"/>
    <x v="4"/>
    <s v="*"/>
    <s v="*"/>
    <s v="*"/>
    <x v="3"/>
    <n v="236.34"/>
  </r>
  <r>
    <d v="2023-04-22T00:00:00"/>
    <x v="3"/>
    <x v="0"/>
    <x v="1"/>
    <n v="8"/>
    <x v="4"/>
    <s v="*"/>
    <s v="*"/>
    <s v="*"/>
    <x v="2"/>
    <n v="72.72"/>
  </r>
  <r>
    <d v="2023-04-23T00:00:00"/>
    <x v="3"/>
    <x v="0"/>
    <x v="1"/>
    <n v="26"/>
    <x v="7"/>
    <s v="*"/>
    <s v="*"/>
    <s v="*"/>
    <x v="3"/>
    <n v="236.34"/>
  </r>
  <r>
    <d v="2023-04-23T00:00:00"/>
    <x v="3"/>
    <x v="0"/>
    <x v="0"/>
    <n v="10"/>
    <x v="2"/>
    <s v="*"/>
    <s v="*"/>
    <s v="*"/>
    <x v="4"/>
    <n v="90.9"/>
  </r>
  <r>
    <d v="2023-04-24T00:00:00"/>
    <x v="3"/>
    <x v="0"/>
    <x v="0"/>
    <n v="7"/>
    <x v="7"/>
    <s v="*"/>
    <s v="*"/>
    <s v="*"/>
    <x v="5"/>
    <n v="63.629999999999995"/>
  </r>
  <r>
    <d v="2023-04-25T00:00:00"/>
    <x v="3"/>
    <x v="0"/>
    <x v="1"/>
    <n v="7"/>
    <x v="0"/>
    <s v="*"/>
    <s v="*"/>
    <s v="*"/>
    <x v="3"/>
    <n v="63.629999999999995"/>
  </r>
  <r>
    <d v="2023-04-25T00:00:00"/>
    <x v="3"/>
    <x v="0"/>
    <x v="1"/>
    <n v="7"/>
    <x v="2"/>
    <s v="*"/>
    <s v="*"/>
    <s v="*"/>
    <x v="3"/>
    <n v="63.629999999999995"/>
  </r>
  <r>
    <d v="2023-04-27T00:00:00"/>
    <x v="3"/>
    <x v="0"/>
    <x v="1"/>
    <n v="7"/>
    <x v="4"/>
    <s v="*"/>
    <s v="*"/>
    <s v="*"/>
    <x v="3"/>
    <n v="63.629999999999995"/>
  </r>
  <r>
    <d v="2023-04-27T00:00:00"/>
    <x v="3"/>
    <x v="0"/>
    <x v="1"/>
    <n v="16"/>
    <x v="0"/>
    <s v="*"/>
    <s v="*"/>
    <s v="*"/>
    <x v="3"/>
    <n v="145.44"/>
  </r>
  <r>
    <d v="2023-04-28T00:00:00"/>
    <x v="3"/>
    <x v="0"/>
    <x v="1"/>
    <n v="2"/>
    <x v="6"/>
    <s v="*"/>
    <s v="*"/>
    <s v="*"/>
    <x v="3"/>
    <n v="18.18"/>
  </r>
  <r>
    <d v="2023-04-30T00:00:00"/>
    <x v="3"/>
    <x v="0"/>
    <x v="0"/>
    <n v="4"/>
    <x v="4"/>
    <s v="*"/>
    <s v="*"/>
    <s v="*"/>
    <x v="0"/>
    <n v="36.36"/>
  </r>
  <r>
    <d v="2023-04-30T00:00:00"/>
    <x v="3"/>
    <x v="0"/>
    <x v="0"/>
    <n v="1"/>
    <x v="7"/>
    <s v="*"/>
    <s v="*"/>
    <s v="*"/>
    <x v="2"/>
    <n v="9.09"/>
  </r>
  <r>
    <d v="2023-04-30T00:00:00"/>
    <x v="3"/>
    <x v="0"/>
    <x v="0"/>
    <n v="6"/>
    <x v="5"/>
    <s v="*"/>
    <s v="*"/>
    <s v="*"/>
    <x v="2"/>
    <n v="54.54"/>
  </r>
  <r>
    <d v="2023-04-30T00:00:00"/>
    <x v="3"/>
    <x v="0"/>
    <x v="1"/>
    <n v="2"/>
    <x v="0"/>
    <s v="*"/>
    <s v="*"/>
    <s v="*"/>
    <x v="0"/>
    <n v="18.18"/>
  </r>
  <r>
    <d v="2023-04-30T00:00:00"/>
    <x v="3"/>
    <x v="0"/>
    <x v="1"/>
    <n v="28"/>
    <x v="4"/>
    <s v="*"/>
    <s v="*"/>
    <s v="*"/>
    <x v="0"/>
    <n v="254.51999999999998"/>
  </r>
  <r>
    <d v="2023-05-02T00:00:00"/>
    <x v="4"/>
    <x v="0"/>
    <x v="0"/>
    <n v="5"/>
    <x v="0"/>
    <s v="*"/>
    <s v="*"/>
    <s v="*"/>
    <x v="5"/>
    <n v="45.45"/>
  </r>
  <r>
    <d v="2023-05-02T00:00:00"/>
    <x v="4"/>
    <x v="0"/>
    <x v="0"/>
    <n v="5"/>
    <x v="0"/>
    <s v="*"/>
    <s v="*"/>
    <s v="*"/>
    <x v="0"/>
    <n v="45.45"/>
  </r>
  <r>
    <d v="2023-05-02T00:00:00"/>
    <x v="4"/>
    <x v="0"/>
    <x v="1"/>
    <n v="26"/>
    <x v="4"/>
    <s v="*"/>
    <s v="*"/>
    <s v="*"/>
    <x v="0"/>
    <n v="236.34"/>
  </r>
  <r>
    <d v="2023-05-02T00:00:00"/>
    <x v="4"/>
    <x v="0"/>
    <x v="1"/>
    <n v="2"/>
    <x v="3"/>
    <s v="*"/>
    <s v="*"/>
    <s v="*"/>
    <x v="0"/>
    <n v="18.18"/>
  </r>
  <r>
    <d v="2023-05-02T00:00:00"/>
    <x v="4"/>
    <x v="0"/>
    <x v="0"/>
    <n v="1"/>
    <x v="3"/>
    <s v="*"/>
    <s v="*"/>
    <s v="*"/>
    <x v="0"/>
    <n v="9.09"/>
  </r>
  <r>
    <d v="2023-05-02T00:00:00"/>
    <x v="4"/>
    <x v="0"/>
    <x v="1"/>
    <n v="5"/>
    <x v="2"/>
    <s v="*"/>
    <s v="*"/>
    <s v="*"/>
    <x v="0"/>
    <n v="45.45"/>
  </r>
  <r>
    <d v="2023-05-02T00:00:00"/>
    <x v="4"/>
    <x v="0"/>
    <x v="0"/>
    <n v="8"/>
    <x v="0"/>
    <s v="*"/>
    <s v="*"/>
    <s v="*"/>
    <x v="0"/>
    <n v="72.72"/>
  </r>
  <r>
    <d v="2023-05-03T00:00:00"/>
    <x v="4"/>
    <x v="0"/>
    <x v="0"/>
    <n v="7"/>
    <x v="2"/>
    <s v="*"/>
    <s v="*"/>
    <s v="*"/>
    <x v="5"/>
    <n v="63.629999999999995"/>
  </r>
  <r>
    <d v="2023-05-03T00:00:00"/>
    <x v="4"/>
    <x v="0"/>
    <x v="0"/>
    <n v="3"/>
    <x v="0"/>
    <s v="*"/>
    <s v="*"/>
    <s v="*"/>
    <x v="0"/>
    <n v="27.27"/>
  </r>
  <r>
    <d v="2023-05-03T00:00:00"/>
    <x v="4"/>
    <x v="0"/>
    <x v="0"/>
    <n v="2"/>
    <x v="7"/>
    <s v="*"/>
    <s v="*"/>
    <s v="*"/>
    <x v="2"/>
    <n v="18.18"/>
  </r>
  <r>
    <d v="2023-05-04T00:00:00"/>
    <x v="4"/>
    <x v="0"/>
    <x v="0"/>
    <n v="2"/>
    <x v="2"/>
    <s v="*"/>
    <s v="*"/>
    <s v="*"/>
    <x v="6"/>
    <n v="18.18"/>
  </r>
  <r>
    <d v="2023-05-05T00:00:00"/>
    <x v="4"/>
    <x v="0"/>
    <x v="0"/>
    <n v="26"/>
    <x v="4"/>
    <s v="*"/>
    <s v="*"/>
    <s v="*"/>
    <x v="5"/>
    <n v="236.34"/>
  </r>
  <r>
    <d v="2023-05-05T00:00:00"/>
    <x v="4"/>
    <x v="0"/>
    <x v="0"/>
    <n v="5"/>
    <x v="5"/>
    <s v="*"/>
    <s v="*"/>
    <s v="*"/>
    <x v="3"/>
    <n v="45.45"/>
  </r>
  <r>
    <d v="2023-05-05T00:00:00"/>
    <x v="4"/>
    <x v="0"/>
    <x v="1"/>
    <n v="26"/>
    <x v="4"/>
    <s v="*"/>
    <s v="*"/>
    <s v="*"/>
    <x v="3"/>
    <n v="236.34"/>
  </r>
  <r>
    <d v="2023-05-05T00:00:00"/>
    <x v="4"/>
    <x v="0"/>
    <x v="1"/>
    <n v="26"/>
    <x v="4"/>
    <s v="*"/>
    <s v="*"/>
    <s v="*"/>
    <x v="0"/>
    <n v="236.34"/>
  </r>
  <r>
    <d v="2023-05-05T00:00:00"/>
    <x v="4"/>
    <x v="0"/>
    <x v="1"/>
    <n v="5"/>
    <x v="7"/>
    <s v="*"/>
    <s v="*"/>
    <s v="*"/>
    <x v="0"/>
    <n v="45.45"/>
  </r>
  <r>
    <d v="2023-05-06T00:00:00"/>
    <x v="4"/>
    <x v="0"/>
    <x v="1"/>
    <n v="24"/>
    <x v="6"/>
    <s v="*"/>
    <s v="*"/>
    <s v="*"/>
    <x v="3"/>
    <n v="218.16"/>
  </r>
  <r>
    <d v="2023-05-06T00:00:00"/>
    <x v="4"/>
    <x v="0"/>
    <x v="1"/>
    <n v="24"/>
    <x v="6"/>
    <s v="*"/>
    <s v="*"/>
    <s v="*"/>
    <x v="3"/>
    <n v="218.16"/>
  </r>
  <r>
    <d v="2023-05-06T00:00:00"/>
    <x v="4"/>
    <x v="0"/>
    <x v="0"/>
    <n v="4"/>
    <x v="2"/>
    <s v="*"/>
    <s v="*"/>
    <s v="*"/>
    <x v="0"/>
    <n v="36.36"/>
  </r>
  <r>
    <d v="2023-05-07T00:00:00"/>
    <x v="4"/>
    <x v="0"/>
    <x v="1"/>
    <n v="28"/>
    <x v="4"/>
    <s v="*"/>
    <s v="*"/>
    <s v="*"/>
    <x v="3"/>
    <n v="254.51999999999998"/>
  </r>
  <r>
    <d v="2023-05-08T00:00:00"/>
    <x v="4"/>
    <x v="0"/>
    <x v="1"/>
    <n v="5"/>
    <x v="6"/>
    <s v="*"/>
    <s v="*"/>
    <s v="*"/>
    <x v="2"/>
    <n v="45.45"/>
  </r>
  <r>
    <d v="2023-05-09T00:00:00"/>
    <x v="4"/>
    <x v="0"/>
    <x v="1"/>
    <n v="12"/>
    <x v="7"/>
    <s v="*"/>
    <s v="*"/>
    <s v="*"/>
    <x v="2"/>
    <n v="109.08"/>
  </r>
  <r>
    <d v="2023-05-11T00:00:00"/>
    <x v="4"/>
    <x v="0"/>
    <x v="1"/>
    <n v="28"/>
    <x v="4"/>
    <s v="*"/>
    <s v="*"/>
    <s v="*"/>
    <x v="5"/>
    <n v="254.51999999999998"/>
  </r>
  <r>
    <d v="2023-05-11T00:00:00"/>
    <x v="4"/>
    <x v="0"/>
    <x v="1"/>
    <n v="4"/>
    <x v="7"/>
    <s v="*"/>
    <s v="*"/>
    <s v="*"/>
    <x v="2"/>
    <n v="36.36"/>
  </r>
  <r>
    <d v="2023-05-12T00:00:00"/>
    <x v="4"/>
    <x v="0"/>
    <x v="0"/>
    <n v="6"/>
    <x v="0"/>
    <s v="*"/>
    <s v="*"/>
    <s v="*"/>
    <x v="0"/>
    <n v="54.54"/>
  </r>
  <r>
    <d v="2023-05-13T00:00:00"/>
    <x v="4"/>
    <x v="0"/>
    <x v="1"/>
    <n v="26"/>
    <x v="5"/>
    <s v="*"/>
    <s v="*"/>
    <s v="*"/>
    <x v="6"/>
    <n v="236.34"/>
  </r>
  <r>
    <d v="2023-05-14T00:00:00"/>
    <x v="4"/>
    <x v="0"/>
    <x v="1"/>
    <n v="5"/>
    <x v="2"/>
    <s v="*"/>
    <s v="*"/>
    <s v="*"/>
    <x v="3"/>
    <n v="45.45"/>
  </r>
  <r>
    <d v="2023-05-14T00:00:00"/>
    <x v="4"/>
    <x v="0"/>
    <x v="0"/>
    <n v="1"/>
    <x v="2"/>
    <s v="*"/>
    <s v="*"/>
    <s v="*"/>
    <x v="1"/>
    <n v="9.09"/>
  </r>
  <r>
    <d v="2023-05-14T00:00:00"/>
    <x v="4"/>
    <x v="0"/>
    <x v="0"/>
    <n v="6"/>
    <x v="2"/>
    <s v="*"/>
    <s v="*"/>
    <s v="*"/>
    <x v="3"/>
    <n v="54.54"/>
  </r>
  <r>
    <d v="2023-05-15T00:00:00"/>
    <x v="4"/>
    <x v="0"/>
    <x v="0"/>
    <n v="3"/>
    <x v="2"/>
    <s v="*"/>
    <s v="*"/>
    <s v="*"/>
    <x v="2"/>
    <n v="27.27"/>
  </r>
  <r>
    <d v="2023-05-15T00:00:00"/>
    <x v="4"/>
    <x v="0"/>
    <x v="0"/>
    <n v="4"/>
    <x v="2"/>
    <s v="*"/>
    <s v="*"/>
    <s v="*"/>
    <x v="4"/>
    <n v="36.36"/>
  </r>
  <r>
    <d v="2023-05-15T00:00:00"/>
    <x v="4"/>
    <x v="0"/>
    <x v="1"/>
    <n v="30"/>
    <x v="4"/>
    <s v="*"/>
    <s v="*"/>
    <s v="*"/>
    <x v="1"/>
    <n v="272.7"/>
  </r>
  <r>
    <d v="2023-05-16T00:00:00"/>
    <x v="4"/>
    <x v="0"/>
    <x v="1"/>
    <n v="2"/>
    <x v="4"/>
    <s v="*"/>
    <s v="*"/>
    <s v="*"/>
    <x v="3"/>
    <n v="18.18"/>
  </r>
  <r>
    <d v="2023-05-16T00:00:00"/>
    <x v="4"/>
    <x v="0"/>
    <x v="1"/>
    <n v="1"/>
    <x v="0"/>
    <s v="*"/>
    <s v="*"/>
    <s v="*"/>
    <x v="3"/>
    <n v="9.09"/>
  </r>
  <r>
    <d v="2023-05-16T00:00:00"/>
    <x v="4"/>
    <x v="0"/>
    <x v="1"/>
    <n v="26"/>
    <x v="0"/>
    <s v="*"/>
    <s v="*"/>
    <s v="*"/>
    <x v="2"/>
    <n v="236.34"/>
  </r>
  <r>
    <d v="2023-05-16T00:00:00"/>
    <x v="4"/>
    <x v="0"/>
    <x v="1"/>
    <n v="2"/>
    <x v="7"/>
    <s v="*"/>
    <s v="*"/>
    <s v="*"/>
    <x v="2"/>
    <n v="18.18"/>
  </r>
  <r>
    <d v="2023-05-17T00:00:00"/>
    <x v="4"/>
    <x v="0"/>
    <x v="1"/>
    <n v="8"/>
    <x v="4"/>
    <s v="*"/>
    <s v="*"/>
    <s v="*"/>
    <x v="2"/>
    <n v="72.72"/>
  </r>
  <r>
    <d v="2023-05-20T00:00:00"/>
    <x v="4"/>
    <x v="0"/>
    <x v="0"/>
    <n v="5"/>
    <x v="2"/>
    <s v="*"/>
    <s v="*"/>
    <s v="*"/>
    <x v="5"/>
    <n v="45.45"/>
  </r>
  <r>
    <d v="2023-05-20T00:00:00"/>
    <x v="4"/>
    <x v="0"/>
    <x v="1"/>
    <n v="20"/>
    <x v="4"/>
    <s v="*"/>
    <s v="*"/>
    <s v="*"/>
    <x v="3"/>
    <n v="181.8"/>
  </r>
  <r>
    <d v="2023-05-20T00:00:00"/>
    <x v="4"/>
    <x v="0"/>
    <x v="1"/>
    <n v="14"/>
    <x v="2"/>
    <s v="*"/>
    <s v="*"/>
    <s v="*"/>
    <x v="1"/>
    <n v="127.25999999999999"/>
  </r>
  <r>
    <d v="2023-05-20T00:00:00"/>
    <x v="4"/>
    <x v="0"/>
    <x v="0"/>
    <n v="4"/>
    <x v="2"/>
    <s v="*"/>
    <s v="*"/>
    <s v="*"/>
    <x v="1"/>
    <n v="36.36"/>
  </r>
  <r>
    <d v="2023-05-20T00:00:00"/>
    <x v="4"/>
    <x v="0"/>
    <x v="0"/>
    <n v="5"/>
    <x v="7"/>
    <s v="*"/>
    <s v="*"/>
    <s v="*"/>
    <x v="3"/>
    <n v="45.45"/>
  </r>
  <r>
    <d v="2023-05-24T00:00:00"/>
    <x v="4"/>
    <x v="0"/>
    <x v="0"/>
    <n v="1"/>
    <x v="2"/>
    <s v="*"/>
    <s v="*"/>
    <s v="*"/>
    <x v="3"/>
    <n v="9.09"/>
  </r>
  <r>
    <d v="2023-05-25T00:00:00"/>
    <x v="4"/>
    <x v="0"/>
    <x v="0"/>
    <n v="3"/>
    <x v="2"/>
    <s v="*"/>
    <s v="*"/>
    <s v="*"/>
    <x v="6"/>
    <n v="27.27"/>
  </r>
  <r>
    <d v="2023-05-27T00:00:00"/>
    <x v="4"/>
    <x v="0"/>
    <x v="1"/>
    <n v="1"/>
    <x v="2"/>
    <s v="*"/>
    <s v="*"/>
    <s v="*"/>
    <x v="1"/>
    <n v="9.09"/>
  </r>
  <r>
    <d v="2023-05-28T00:00:00"/>
    <x v="4"/>
    <x v="0"/>
    <x v="1"/>
    <n v="3"/>
    <x v="4"/>
    <s v="*"/>
    <s v="*"/>
    <s v="*"/>
    <x v="3"/>
    <n v="27.27"/>
  </r>
  <r>
    <d v="2023-05-28T00:00:00"/>
    <x v="4"/>
    <x v="0"/>
    <x v="0"/>
    <n v="5"/>
    <x v="2"/>
    <s v="*"/>
    <s v="*"/>
    <s v="*"/>
    <x v="0"/>
    <n v="45.45"/>
  </r>
  <r>
    <d v="2023-05-29T00:00:00"/>
    <x v="4"/>
    <x v="0"/>
    <x v="0"/>
    <n v="5"/>
    <x v="0"/>
    <s v="*"/>
    <s v="*"/>
    <s v="*"/>
    <x v="3"/>
    <n v="45.45"/>
  </r>
  <r>
    <d v="2023-05-29T00:00:00"/>
    <x v="4"/>
    <x v="0"/>
    <x v="1"/>
    <n v="26"/>
    <x v="4"/>
    <s v="*"/>
    <s v="*"/>
    <s v="*"/>
    <x v="3"/>
    <n v="236.34"/>
  </r>
  <r>
    <d v="2023-05-30T00:00:00"/>
    <x v="4"/>
    <x v="0"/>
    <x v="1"/>
    <n v="26"/>
    <x v="4"/>
    <s v="*"/>
    <s v="*"/>
    <s v="*"/>
    <x v="6"/>
    <n v="236.34"/>
  </r>
  <r>
    <d v="2023-05-30T00:00:00"/>
    <x v="4"/>
    <x v="0"/>
    <x v="1"/>
    <n v="14"/>
    <x v="4"/>
    <s v="*"/>
    <s v="*"/>
    <s v="*"/>
    <x v="3"/>
    <n v="127.25999999999999"/>
  </r>
  <r>
    <d v="2023-05-30T00:00:00"/>
    <x v="4"/>
    <x v="0"/>
    <x v="0"/>
    <n v="3"/>
    <x v="0"/>
    <s v="*"/>
    <s v="*"/>
    <s v="*"/>
    <x v="3"/>
    <n v="27.27"/>
  </r>
  <r>
    <d v="2023-05-31T00:00:00"/>
    <x v="4"/>
    <x v="0"/>
    <x v="1"/>
    <n v="27"/>
    <x v="4"/>
    <s v="*"/>
    <s v="*"/>
    <s v="*"/>
    <x v="0"/>
    <n v="245.43"/>
  </r>
  <r>
    <d v="2023-05-31T00:00:00"/>
    <x v="4"/>
    <x v="0"/>
    <x v="1"/>
    <n v="28"/>
    <x v="4"/>
    <s v="*"/>
    <s v="*"/>
    <s v="*"/>
    <x v="3"/>
    <n v="254.51999999999998"/>
  </r>
  <r>
    <d v="2023-06-01T00:00:00"/>
    <x v="5"/>
    <x v="0"/>
    <x v="1"/>
    <n v="5"/>
    <x v="2"/>
    <s v="*"/>
    <s v="*"/>
    <s v="*"/>
    <x v="3"/>
    <n v="45.45"/>
  </r>
  <r>
    <d v="2023-06-01T00:00:00"/>
    <x v="5"/>
    <x v="0"/>
    <x v="0"/>
    <n v="3"/>
    <x v="5"/>
    <s v="*"/>
    <s v="*"/>
    <s v="*"/>
    <x v="0"/>
    <n v="27.27"/>
  </r>
  <r>
    <d v="2023-06-03T00:00:00"/>
    <x v="5"/>
    <x v="0"/>
    <x v="1"/>
    <n v="1"/>
    <x v="5"/>
    <s v="*"/>
    <s v="*"/>
    <s v="*"/>
    <x v="2"/>
    <n v="9.09"/>
  </r>
  <r>
    <d v="2023-06-04T00:00:00"/>
    <x v="5"/>
    <x v="0"/>
    <x v="0"/>
    <n v="6"/>
    <x v="2"/>
    <s v="*"/>
    <s v="*"/>
    <s v="*"/>
    <x v="0"/>
    <n v="54.54"/>
  </r>
  <r>
    <d v="2023-06-04T00:00:00"/>
    <x v="5"/>
    <x v="0"/>
    <x v="0"/>
    <n v="1"/>
    <x v="4"/>
    <s v="*"/>
    <s v="*"/>
    <s v="*"/>
    <x v="1"/>
    <n v="9.09"/>
  </r>
  <r>
    <d v="2023-06-04T00:00:00"/>
    <x v="5"/>
    <x v="0"/>
    <x v="1"/>
    <n v="2"/>
    <x v="4"/>
    <s v="*"/>
    <s v="*"/>
    <s v="*"/>
    <x v="1"/>
    <n v="18.18"/>
  </r>
  <r>
    <d v="2023-06-04T00:00:00"/>
    <x v="5"/>
    <x v="0"/>
    <x v="1"/>
    <n v="26"/>
    <x v="4"/>
    <s v="*"/>
    <s v="*"/>
    <s v="*"/>
    <x v="5"/>
    <n v="236.34"/>
  </r>
  <r>
    <d v="2023-06-05T00:00:00"/>
    <x v="5"/>
    <x v="0"/>
    <x v="1"/>
    <n v="26"/>
    <x v="4"/>
    <s v="*"/>
    <s v="*"/>
    <s v="*"/>
    <x v="2"/>
    <n v="236.34"/>
  </r>
  <r>
    <d v="2023-06-05T00:00:00"/>
    <x v="5"/>
    <x v="0"/>
    <x v="0"/>
    <n v="3"/>
    <x v="0"/>
    <s v="*"/>
    <s v="*"/>
    <s v="*"/>
    <x v="5"/>
    <n v="27.27"/>
  </r>
  <r>
    <d v="2023-06-05T00:00:00"/>
    <x v="5"/>
    <x v="0"/>
    <x v="1"/>
    <n v="26"/>
    <x v="4"/>
    <s v="*"/>
    <s v="*"/>
    <s v="*"/>
    <x v="5"/>
    <n v="236.34"/>
  </r>
  <r>
    <d v="2023-06-06T00:00:00"/>
    <x v="5"/>
    <x v="0"/>
    <x v="1"/>
    <n v="26"/>
    <x v="4"/>
    <s v="*"/>
    <s v="*"/>
    <s v="*"/>
    <x v="2"/>
    <n v="236.34"/>
  </r>
  <r>
    <d v="2023-06-06T00:00:00"/>
    <x v="5"/>
    <x v="0"/>
    <x v="1"/>
    <n v="10"/>
    <x v="4"/>
    <s v="*"/>
    <s v="*"/>
    <s v="*"/>
    <x v="2"/>
    <n v="90.9"/>
  </r>
  <r>
    <d v="2023-06-06T00:00:00"/>
    <x v="5"/>
    <x v="0"/>
    <x v="1"/>
    <n v="13"/>
    <x v="2"/>
    <s v="*"/>
    <s v="*"/>
    <s v="*"/>
    <x v="0"/>
    <n v="118.17"/>
  </r>
  <r>
    <d v="2023-06-08T00:00:00"/>
    <x v="5"/>
    <x v="0"/>
    <x v="0"/>
    <n v="4"/>
    <x v="2"/>
    <s v="*"/>
    <s v="*"/>
    <s v="*"/>
    <x v="0"/>
    <n v="36.36"/>
  </r>
  <r>
    <d v="2023-06-08T00:00:00"/>
    <x v="5"/>
    <x v="0"/>
    <x v="1"/>
    <n v="26"/>
    <x v="4"/>
    <s v="*"/>
    <s v="*"/>
    <s v="*"/>
    <x v="6"/>
    <n v="236.34"/>
  </r>
  <r>
    <d v="2023-06-09T00:00:00"/>
    <x v="5"/>
    <x v="0"/>
    <x v="1"/>
    <n v="3"/>
    <x v="4"/>
    <s v="*"/>
    <s v="*"/>
    <s v="*"/>
    <x v="2"/>
    <n v="27.27"/>
  </r>
  <r>
    <d v="2023-06-09T00:00:00"/>
    <x v="5"/>
    <x v="0"/>
    <x v="0"/>
    <n v="1"/>
    <x v="2"/>
    <s v="*"/>
    <s v="*"/>
    <s v="*"/>
    <x v="3"/>
    <n v="9.09"/>
  </r>
  <r>
    <d v="2023-06-10T00:00:00"/>
    <x v="5"/>
    <x v="0"/>
    <x v="0"/>
    <n v="6"/>
    <x v="2"/>
    <s v="*"/>
    <s v="*"/>
    <s v="*"/>
    <x v="5"/>
    <n v="54.54"/>
  </r>
  <r>
    <d v="2023-06-10T00:00:00"/>
    <x v="5"/>
    <x v="0"/>
    <x v="0"/>
    <n v="4"/>
    <x v="5"/>
    <s v="*"/>
    <s v="*"/>
    <s v="*"/>
    <x v="3"/>
    <n v="36.36"/>
  </r>
  <r>
    <d v="2023-06-10T00:00:00"/>
    <x v="5"/>
    <x v="0"/>
    <x v="1"/>
    <n v="26"/>
    <x v="4"/>
    <s v="*"/>
    <s v="*"/>
    <s v="*"/>
    <x v="0"/>
    <n v="236.34"/>
  </r>
  <r>
    <d v="2023-06-12T00:00:00"/>
    <x v="5"/>
    <x v="0"/>
    <x v="1"/>
    <n v="2"/>
    <x v="7"/>
    <s v="*"/>
    <s v="*"/>
    <s v="*"/>
    <x v="2"/>
    <n v="18.18"/>
  </r>
  <r>
    <d v="2023-06-12T00:00:00"/>
    <x v="5"/>
    <x v="0"/>
    <x v="1"/>
    <n v="26"/>
    <x v="4"/>
    <s v="*"/>
    <s v="*"/>
    <s v="*"/>
    <x v="0"/>
    <n v="236.34"/>
  </r>
  <r>
    <d v="2023-06-12T00:00:00"/>
    <x v="5"/>
    <x v="0"/>
    <x v="0"/>
    <n v="1"/>
    <x v="0"/>
    <s v="*"/>
    <s v="*"/>
    <s v="*"/>
    <x v="0"/>
    <n v="9.09"/>
  </r>
  <r>
    <d v="2023-06-13T00:00:00"/>
    <x v="5"/>
    <x v="0"/>
    <x v="1"/>
    <n v="26"/>
    <x v="4"/>
    <s v="*"/>
    <s v="*"/>
    <s v="*"/>
    <x v="2"/>
    <n v="236.34"/>
  </r>
  <r>
    <d v="2023-06-13T00:00:00"/>
    <x v="5"/>
    <x v="0"/>
    <x v="1"/>
    <n v="26"/>
    <x v="4"/>
    <s v="*"/>
    <s v="*"/>
    <s v="*"/>
    <x v="2"/>
    <n v="236.34"/>
  </r>
  <r>
    <d v="2023-06-13T00:00:00"/>
    <x v="5"/>
    <x v="0"/>
    <x v="0"/>
    <n v="2"/>
    <x v="1"/>
    <s v="*"/>
    <s v="*"/>
    <s v="*"/>
    <x v="1"/>
    <n v="18.18"/>
  </r>
  <r>
    <d v="2023-06-13T00:00:00"/>
    <x v="5"/>
    <x v="0"/>
    <x v="1"/>
    <n v="26"/>
    <x v="4"/>
    <s v="*"/>
    <s v="*"/>
    <s v="*"/>
    <x v="1"/>
    <n v="236.34"/>
  </r>
  <r>
    <d v="2023-06-13T00:00:00"/>
    <x v="5"/>
    <x v="0"/>
    <x v="1"/>
    <n v="3"/>
    <x v="5"/>
    <s v="*"/>
    <s v="*"/>
    <s v="*"/>
    <x v="1"/>
    <n v="27.27"/>
  </r>
  <r>
    <d v="2023-06-13T00:00:00"/>
    <x v="5"/>
    <x v="0"/>
    <x v="0"/>
    <n v="3"/>
    <x v="5"/>
    <s v="*"/>
    <s v="*"/>
    <s v="*"/>
    <x v="1"/>
    <n v="27.27"/>
  </r>
  <r>
    <d v="2023-06-15T00:00:00"/>
    <x v="5"/>
    <x v="0"/>
    <x v="1"/>
    <n v="28"/>
    <x v="4"/>
    <s v="*"/>
    <s v="*"/>
    <s v="*"/>
    <x v="3"/>
    <n v="254.51999999999998"/>
  </r>
  <r>
    <d v="2023-06-17T00:00:00"/>
    <x v="5"/>
    <x v="0"/>
    <x v="1"/>
    <n v="28"/>
    <x v="4"/>
    <s v="*"/>
    <s v="*"/>
    <s v="*"/>
    <x v="3"/>
    <n v="254.51999999999998"/>
  </r>
  <r>
    <d v="2023-06-17T00:00:00"/>
    <x v="5"/>
    <x v="0"/>
    <x v="0"/>
    <n v="4"/>
    <x v="0"/>
    <s v="*"/>
    <s v="*"/>
    <s v="*"/>
    <x v="0"/>
    <n v="36.36"/>
  </r>
  <r>
    <d v="2023-06-17T00:00:00"/>
    <x v="5"/>
    <x v="0"/>
    <x v="0"/>
    <n v="6"/>
    <x v="2"/>
    <s v="*"/>
    <s v="*"/>
    <s v="*"/>
    <x v="0"/>
    <n v="54.54"/>
  </r>
  <r>
    <d v="2023-06-19T00:00:00"/>
    <x v="5"/>
    <x v="0"/>
    <x v="1"/>
    <n v="26"/>
    <x v="4"/>
    <s v="*"/>
    <s v="*"/>
    <s v="*"/>
    <x v="3"/>
    <n v="236.34"/>
  </r>
  <r>
    <d v="2023-06-19T00:00:00"/>
    <x v="5"/>
    <x v="0"/>
    <x v="0"/>
    <n v="2"/>
    <x v="0"/>
    <s v="*"/>
    <s v="*"/>
    <s v="*"/>
    <x v="1"/>
    <n v="18.18"/>
  </r>
  <r>
    <d v="2023-06-20T00:00:00"/>
    <x v="5"/>
    <x v="0"/>
    <x v="1"/>
    <n v="13"/>
    <x v="4"/>
    <s v="*"/>
    <s v="*"/>
    <s v="*"/>
    <x v="2"/>
    <n v="118.17"/>
  </r>
  <r>
    <d v="2023-06-25T00:00:00"/>
    <x v="5"/>
    <x v="0"/>
    <x v="1"/>
    <n v="26"/>
    <x v="4"/>
    <s v="*"/>
    <s v="*"/>
    <s v="*"/>
    <x v="0"/>
    <n v="236.34"/>
  </r>
  <r>
    <d v="2023-06-26T00:00:00"/>
    <x v="5"/>
    <x v="0"/>
    <x v="1"/>
    <n v="3"/>
    <x v="4"/>
    <s v="*"/>
    <s v="*"/>
    <s v="*"/>
    <x v="3"/>
    <n v="27.27"/>
  </r>
  <r>
    <d v="2023-06-27T00:00:00"/>
    <x v="5"/>
    <x v="0"/>
    <x v="0"/>
    <n v="3"/>
    <x v="5"/>
    <s v="*"/>
    <s v="*"/>
    <s v="*"/>
    <x v="3"/>
    <n v="27.27"/>
  </r>
  <r>
    <d v="2023-06-28T00:00:00"/>
    <x v="5"/>
    <x v="0"/>
    <x v="1"/>
    <n v="26"/>
    <x v="4"/>
    <s v="*"/>
    <s v="*"/>
    <s v="*"/>
    <x v="0"/>
    <n v="236.34"/>
  </r>
  <r>
    <d v="2023-06-30T00:00:00"/>
    <x v="5"/>
    <x v="0"/>
    <x v="1"/>
    <n v="28"/>
    <x v="4"/>
    <s v="*"/>
    <s v="*"/>
    <s v="*"/>
    <x v="1"/>
    <n v="254.51999999999998"/>
  </r>
  <r>
    <d v="2023-06-30T00:00:00"/>
    <x v="5"/>
    <x v="0"/>
    <x v="0"/>
    <n v="4"/>
    <x v="5"/>
    <s v="*"/>
    <s v="*"/>
    <s v="*"/>
    <x v="4"/>
    <n v="36.36"/>
  </r>
  <r>
    <d v="2023-07-02T00:00:00"/>
    <x v="6"/>
    <x v="0"/>
    <x v="1"/>
    <n v="26"/>
    <x v="4"/>
    <s v="*"/>
    <s v="*"/>
    <s v="*"/>
    <x v="0"/>
    <n v="236.34"/>
  </r>
  <r>
    <d v="2023-07-03T00:00:00"/>
    <x v="6"/>
    <x v="0"/>
    <x v="0"/>
    <n v="6"/>
    <x v="4"/>
    <s v="*"/>
    <s v="*"/>
    <s v="*"/>
    <x v="3"/>
    <n v="54.54"/>
  </r>
  <r>
    <d v="2023-07-04T00:00:00"/>
    <x v="6"/>
    <x v="0"/>
    <x v="0"/>
    <n v="1"/>
    <x v="2"/>
    <s v="*"/>
    <s v="*"/>
    <s v="*"/>
    <x v="2"/>
    <n v="9.09"/>
  </r>
  <r>
    <d v="2023-07-05T00:00:00"/>
    <x v="6"/>
    <x v="0"/>
    <x v="0"/>
    <n v="3"/>
    <x v="2"/>
    <s v="*"/>
    <s v="*"/>
    <s v="*"/>
    <x v="0"/>
    <n v="27.27"/>
  </r>
  <r>
    <d v="2023-07-05T00:00:00"/>
    <x v="6"/>
    <x v="0"/>
    <x v="0"/>
    <n v="3"/>
    <x v="2"/>
    <s v="*"/>
    <s v="*"/>
    <s v="*"/>
    <x v="0"/>
    <n v="27.27"/>
  </r>
  <r>
    <d v="2023-07-05T00:00:00"/>
    <x v="6"/>
    <x v="0"/>
    <x v="1"/>
    <n v="6"/>
    <x v="4"/>
    <s v="*"/>
    <s v="*"/>
    <s v="*"/>
    <x v="6"/>
    <n v="54.54"/>
  </r>
  <r>
    <d v="2023-07-07T00:00:00"/>
    <x v="6"/>
    <x v="0"/>
    <x v="0"/>
    <n v="6"/>
    <x v="2"/>
    <s v="*"/>
    <s v="*"/>
    <s v="*"/>
    <x v="5"/>
    <n v="54.54"/>
  </r>
  <r>
    <d v="2023-07-08T00:00:00"/>
    <x v="6"/>
    <x v="0"/>
    <x v="0"/>
    <n v="1"/>
    <x v="4"/>
    <s v="*"/>
    <s v="*"/>
    <s v="*"/>
    <x v="2"/>
    <n v="9.09"/>
  </r>
  <r>
    <d v="2023-07-08T00:00:00"/>
    <x v="6"/>
    <x v="0"/>
    <x v="1"/>
    <n v="2"/>
    <x v="4"/>
    <s v="*"/>
    <s v="*"/>
    <s v="*"/>
    <x v="2"/>
    <n v="18.18"/>
  </r>
  <r>
    <d v="2023-07-11T00:00:00"/>
    <x v="6"/>
    <x v="0"/>
    <x v="1"/>
    <n v="2"/>
    <x v="4"/>
    <s v="*"/>
    <s v="*"/>
    <s v="*"/>
    <x v="6"/>
    <n v="18.18"/>
  </r>
  <r>
    <d v="2023-07-11T00:00:00"/>
    <x v="6"/>
    <x v="0"/>
    <x v="0"/>
    <n v="6"/>
    <x v="4"/>
    <s v="*"/>
    <s v="*"/>
    <s v="*"/>
    <x v="5"/>
    <n v="54.54"/>
  </r>
  <r>
    <d v="2023-07-12T00:00:00"/>
    <x v="6"/>
    <x v="0"/>
    <x v="0"/>
    <n v="3"/>
    <x v="7"/>
    <s v="*"/>
    <s v="*"/>
    <s v="*"/>
    <x v="3"/>
    <n v="27.27"/>
  </r>
  <r>
    <d v="2023-07-12T00:00:00"/>
    <x v="6"/>
    <x v="0"/>
    <x v="1"/>
    <n v="4"/>
    <x v="7"/>
    <s v="*"/>
    <s v="*"/>
    <s v="*"/>
    <x v="3"/>
    <n v="36.36"/>
  </r>
  <r>
    <d v="2023-07-12T00:00:00"/>
    <x v="6"/>
    <x v="0"/>
    <x v="0"/>
    <n v="2"/>
    <x v="0"/>
    <s v="*"/>
    <s v="*"/>
    <s v="*"/>
    <x v="3"/>
    <n v="18.18"/>
  </r>
  <r>
    <d v="2023-07-12T00:00:00"/>
    <x v="6"/>
    <x v="0"/>
    <x v="0"/>
    <n v="6"/>
    <x v="2"/>
    <s v="*"/>
    <s v="*"/>
    <s v="*"/>
    <x v="0"/>
    <n v="54.54"/>
  </r>
  <r>
    <d v="2023-07-14T00:00:00"/>
    <x v="6"/>
    <x v="0"/>
    <x v="0"/>
    <n v="6"/>
    <x v="2"/>
    <s v="*"/>
    <s v="*"/>
    <s v="*"/>
    <x v="5"/>
    <n v="54.54"/>
  </r>
  <r>
    <d v="2023-07-16T00:00:00"/>
    <x v="6"/>
    <x v="0"/>
    <x v="0"/>
    <n v="2"/>
    <x v="2"/>
    <s v="*"/>
    <s v="*"/>
    <s v="*"/>
    <x v="1"/>
    <n v="18.18"/>
  </r>
  <r>
    <d v="2023-07-18T00:00:00"/>
    <x v="6"/>
    <x v="0"/>
    <x v="1"/>
    <n v="4"/>
    <x v="1"/>
    <s v="*"/>
    <s v="*"/>
    <s v="*"/>
    <x v="2"/>
    <n v="36.36"/>
  </r>
  <r>
    <d v="2023-07-18T00:00:00"/>
    <x v="6"/>
    <x v="0"/>
    <x v="1"/>
    <n v="4"/>
    <x v="4"/>
    <s v="*"/>
    <s v="*"/>
    <s v="*"/>
    <x v="2"/>
    <n v="36.36"/>
  </r>
  <r>
    <d v="2023-07-18T00:00:00"/>
    <x v="6"/>
    <x v="0"/>
    <x v="0"/>
    <n v="6"/>
    <x v="0"/>
    <s v="*"/>
    <s v="*"/>
    <s v="*"/>
    <x v="2"/>
    <n v="54.54"/>
  </r>
  <r>
    <d v="2023-07-18T00:00:00"/>
    <x v="6"/>
    <x v="0"/>
    <x v="1"/>
    <n v="26"/>
    <x v="4"/>
    <s v="*"/>
    <s v="*"/>
    <s v="*"/>
    <x v="3"/>
    <n v="236.34"/>
  </r>
  <r>
    <d v="2023-07-21T00:00:00"/>
    <x v="6"/>
    <x v="0"/>
    <x v="1"/>
    <n v="26"/>
    <x v="4"/>
    <s v="*"/>
    <s v="*"/>
    <s v="*"/>
    <x v="0"/>
    <n v="236.34"/>
  </r>
  <r>
    <d v="2023-07-21T00:00:00"/>
    <x v="6"/>
    <x v="0"/>
    <x v="0"/>
    <n v="3"/>
    <x v="0"/>
    <s v="*"/>
    <s v="*"/>
    <s v="*"/>
    <x v="0"/>
    <n v="27.27"/>
  </r>
  <r>
    <d v="2023-07-22T00:00:00"/>
    <x v="6"/>
    <x v="0"/>
    <x v="0"/>
    <n v="1"/>
    <x v="4"/>
    <s v="*"/>
    <s v="*"/>
    <s v="*"/>
    <x v="2"/>
    <n v="9.09"/>
  </r>
  <r>
    <d v="2023-07-23T00:00:00"/>
    <x v="6"/>
    <x v="0"/>
    <x v="0"/>
    <n v="4"/>
    <x v="8"/>
    <s v="*"/>
    <s v="*"/>
    <s v="*"/>
    <x v="2"/>
    <n v="36.36"/>
  </r>
  <r>
    <d v="2023-07-24T00:00:00"/>
    <x v="6"/>
    <x v="0"/>
    <x v="0"/>
    <n v="28"/>
    <x v="4"/>
    <s v="*"/>
    <s v="*"/>
    <s v="*"/>
    <x v="5"/>
    <n v="254.51999999999998"/>
  </r>
  <r>
    <d v="2023-07-31T00:00:00"/>
    <x v="6"/>
    <x v="0"/>
    <x v="1"/>
    <n v="5"/>
    <x v="0"/>
    <s v="*"/>
    <s v="*"/>
    <s v="*"/>
    <x v="2"/>
    <n v="45.45"/>
  </r>
  <r>
    <d v="2023-07-31T00:00:00"/>
    <x v="6"/>
    <x v="0"/>
    <x v="1"/>
    <n v="10"/>
    <x v="4"/>
    <s v="*"/>
    <s v="*"/>
    <s v="*"/>
    <x v="3"/>
    <n v="90.9"/>
  </r>
  <r>
    <d v="2023-08-03T00:00:00"/>
    <x v="7"/>
    <x v="0"/>
    <x v="0"/>
    <n v="8"/>
    <x v="2"/>
    <s v="*"/>
    <s v="*"/>
    <s v="*"/>
    <x v="0"/>
    <n v="72.72"/>
  </r>
  <r>
    <d v="2023-08-04T00:00:00"/>
    <x v="7"/>
    <x v="0"/>
    <x v="0"/>
    <n v="4"/>
    <x v="0"/>
    <s v="*"/>
    <s v="*"/>
    <s v="*"/>
    <x v="3"/>
    <n v="36.36"/>
  </r>
  <r>
    <d v="2023-08-04T00:00:00"/>
    <x v="7"/>
    <x v="0"/>
    <x v="1"/>
    <n v="26"/>
    <x v="4"/>
    <s v="*"/>
    <s v="*"/>
    <s v="*"/>
    <x v="0"/>
    <n v="236.34"/>
  </r>
  <r>
    <d v="2023-08-04T00:00:00"/>
    <x v="7"/>
    <x v="0"/>
    <x v="0"/>
    <n v="1"/>
    <x v="0"/>
    <s v="*"/>
    <s v="*"/>
    <s v="*"/>
    <x v="3"/>
    <n v="9.09"/>
  </r>
  <r>
    <d v="2023-08-05T00:00:00"/>
    <x v="7"/>
    <x v="0"/>
    <x v="0"/>
    <n v="3"/>
    <x v="0"/>
    <s v="*"/>
    <s v="*"/>
    <s v="*"/>
    <x v="3"/>
    <n v="27.27"/>
  </r>
  <r>
    <d v="2023-08-06T00:00:00"/>
    <x v="7"/>
    <x v="0"/>
    <x v="0"/>
    <n v="3"/>
    <x v="2"/>
    <s v="*"/>
    <s v="*"/>
    <s v="*"/>
    <x v="0"/>
    <n v="27.27"/>
  </r>
  <r>
    <d v="2023-08-07T00:00:00"/>
    <x v="7"/>
    <x v="0"/>
    <x v="1"/>
    <n v="1"/>
    <x v="4"/>
    <s v="*"/>
    <s v="*"/>
    <s v="*"/>
    <x v="2"/>
    <n v="9.09"/>
  </r>
  <r>
    <d v="2023-08-07T00:00:00"/>
    <x v="7"/>
    <x v="0"/>
    <x v="1"/>
    <n v="1"/>
    <x v="4"/>
    <s v="*"/>
    <s v="*"/>
    <s v="*"/>
    <x v="2"/>
    <n v="9.09"/>
  </r>
  <r>
    <d v="2023-08-09T00:00:00"/>
    <x v="7"/>
    <x v="0"/>
    <x v="1"/>
    <n v="3"/>
    <x v="5"/>
    <s v="*"/>
    <s v="*"/>
    <s v="*"/>
    <x v="6"/>
    <n v="27.27"/>
  </r>
  <r>
    <d v="2023-08-10T00:00:00"/>
    <x v="7"/>
    <x v="0"/>
    <x v="0"/>
    <n v="7"/>
    <x v="2"/>
    <s v="*"/>
    <s v="*"/>
    <s v="*"/>
    <x v="1"/>
    <n v="63.629999999999995"/>
  </r>
  <r>
    <d v="2023-08-10T00:00:00"/>
    <x v="7"/>
    <x v="0"/>
    <x v="1"/>
    <n v="26"/>
    <x v="4"/>
    <s v="*"/>
    <s v="*"/>
    <s v="*"/>
    <x v="1"/>
    <n v="236.34"/>
  </r>
  <r>
    <d v="2023-08-11T00:00:00"/>
    <x v="7"/>
    <x v="0"/>
    <x v="0"/>
    <n v="2"/>
    <x v="2"/>
    <s v="*"/>
    <s v="*"/>
    <s v="*"/>
    <x v="1"/>
    <n v="18.18"/>
  </r>
  <r>
    <d v="2023-08-11T00:00:00"/>
    <x v="7"/>
    <x v="0"/>
    <x v="1"/>
    <n v="24"/>
    <x v="0"/>
    <s v="*"/>
    <s v="*"/>
    <s v="*"/>
    <x v="1"/>
    <n v="218.16"/>
  </r>
  <r>
    <d v="2023-08-11T00:00:00"/>
    <x v="7"/>
    <x v="0"/>
    <x v="0"/>
    <n v="2"/>
    <x v="2"/>
    <s v="*"/>
    <s v="*"/>
    <s v="*"/>
    <x v="5"/>
    <n v="18.18"/>
  </r>
  <r>
    <d v="2023-08-12T00:00:00"/>
    <x v="7"/>
    <x v="0"/>
    <x v="0"/>
    <n v="1"/>
    <x v="4"/>
    <s v="*"/>
    <s v="*"/>
    <s v="*"/>
    <x v="2"/>
    <n v="9.09"/>
  </r>
  <r>
    <d v="2023-08-12T00:00:00"/>
    <x v="7"/>
    <x v="0"/>
    <x v="0"/>
    <n v="3"/>
    <x v="5"/>
    <s v="*"/>
    <s v="*"/>
    <s v="*"/>
    <x v="3"/>
    <n v="27.27"/>
  </r>
  <r>
    <d v="2023-08-12T00:00:00"/>
    <x v="7"/>
    <x v="0"/>
    <x v="0"/>
    <n v="3"/>
    <x v="0"/>
    <s v="*"/>
    <s v="*"/>
    <s v="*"/>
    <x v="3"/>
    <n v="27.27"/>
  </r>
  <r>
    <d v="2023-08-14T00:00:00"/>
    <x v="7"/>
    <x v="0"/>
    <x v="1"/>
    <n v="26"/>
    <x v="4"/>
    <s v="*"/>
    <s v="*"/>
    <s v="*"/>
    <x v="3"/>
    <n v="236.34"/>
  </r>
  <r>
    <d v="2023-08-15T00:00:00"/>
    <x v="7"/>
    <x v="0"/>
    <x v="0"/>
    <n v="7"/>
    <x v="2"/>
    <s v="*"/>
    <s v="*"/>
    <s v="*"/>
    <x v="3"/>
    <n v="63.629999999999995"/>
  </r>
  <r>
    <d v="2023-08-15T00:00:00"/>
    <x v="7"/>
    <x v="0"/>
    <x v="1"/>
    <n v="26"/>
    <x v="4"/>
    <s v="*"/>
    <s v="*"/>
    <s v="*"/>
    <x v="0"/>
    <n v="236.34"/>
  </r>
  <r>
    <d v="2023-08-18T00:00:00"/>
    <x v="7"/>
    <x v="0"/>
    <x v="0"/>
    <n v="4"/>
    <x v="2"/>
    <s v="*"/>
    <s v="*"/>
    <s v="*"/>
    <x v="1"/>
    <n v="36.36"/>
  </r>
  <r>
    <d v="2023-08-18T00:00:00"/>
    <x v="7"/>
    <x v="0"/>
    <x v="1"/>
    <n v="17"/>
    <x v="4"/>
    <s v="*"/>
    <s v="*"/>
    <s v="*"/>
    <x v="1"/>
    <n v="154.53"/>
  </r>
  <r>
    <d v="2023-08-18T00:00:00"/>
    <x v="7"/>
    <x v="0"/>
    <x v="0"/>
    <n v="5"/>
    <x v="2"/>
    <s v="*"/>
    <s v="*"/>
    <s v="*"/>
    <x v="1"/>
    <n v="45.45"/>
  </r>
  <r>
    <d v="2023-08-18T00:00:00"/>
    <x v="7"/>
    <x v="0"/>
    <x v="1"/>
    <n v="10"/>
    <x v="4"/>
    <s v="*"/>
    <s v="*"/>
    <s v="*"/>
    <x v="3"/>
    <n v="90.9"/>
  </r>
  <r>
    <d v="2023-08-18T00:00:00"/>
    <x v="7"/>
    <x v="0"/>
    <x v="1"/>
    <n v="26"/>
    <x v="4"/>
    <s v="*"/>
    <s v="*"/>
    <s v="*"/>
    <x v="5"/>
    <n v="236.34"/>
  </r>
  <r>
    <d v="2023-08-19T00:00:00"/>
    <x v="7"/>
    <x v="0"/>
    <x v="1"/>
    <n v="26"/>
    <x v="4"/>
    <s v="*"/>
    <s v="*"/>
    <s v="*"/>
    <x v="2"/>
    <n v="236.34"/>
  </r>
  <r>
    <d v="2023-08-21T00:00:00"/>
    <x v="7"/>
    <x v="0"/>
    <x v="1"/>
    <n v="14"/>
    <x v="1"/>
    <s v="*"/>
    <s v="*"/>
    <s v="*"/>
    <x v="0"/>
    <n v="127.25999999999999"/>
  </r>
  <r>
    <d v="2023-08-22T00:00:00"/>
    <x v="7"/>
    <x v="0"/>
    <x v="0"/>
    <n v="2"/>
    <x v="4"/>
    <s v="*"/>
    <s v="*"/>
    <s v="*"/>
    <x v="0"/>
    <n v="18.18"/>
  </r>
  <r>
    <d v="2023-08-22T00:00:00"/>
    <x v="7"/>
    <x v="0"/>
    <x v="1"/>
    <n v="5"/>
    <x v="2"/>
    <s v="*"/>
    <s v="*"/>
    <s v="*"/>
    <x v="0"/>
    <n v="45.45"/>
  </r>
  <r>
    <d v="2023-08-25T00:00:00"/>
    <x v="7"/>
    <x v="0"/>
    <x v="0"/>
    <n v="1"/>
    <x v="1"/>
    <s v="*"/>
    <s v="*"/>
    <s v="*"/>
    <x v="1"/>
    <n v="9.09"/>
  </r>
  <r>
    <d v="2023-08-25T00:00:00"/>
    <x v="7"/>
    <x v="0"/>
    <x v="0"/>
    <n v="2"/>
    <x v="1"/>
    <s v="*"/>
    <s v="*"/>
    <s v="*"/>
    <x v="1"/>
    <n v="18.18"/>
  </r>
  <r>
    <d v="2023-08-25T00:00:00"/>
    <x v="7"/>
    <x v="0"/>
    <x v="1"/>
    <n v="5"/>
    <x v="1"/>
    <s v="*"/>
    <s v="*"/>
    <s v="*"/>
    <x v="3"/>
    <n v="45.45"/>
  </r>
  <r>
    <d v="2023-08-26T00:00:00"/>
    <x v="7"/>
    <x v="0"/>
    <x v="1"/>
    <n v="5"/>
    <x v="2"/>
    <s v="*"/>
    <s v="*"/>
    <s v="*"/>
    <x v="1"/>
    <n v="45.45"/>
  </r>
  <r>
    <d v="2023-08-26T00:00:00"/>
    <x v="7"/>
    <x v="0"/>
    <x v="0"/>
    <n v="26"/>
    <x v="4"/>
    <s v="*"/>
    <s v="*"/>
    <s v="*"/>
    <x v="5"/>
    <n v="236.34"/>
  </r>
  <r>
    <d v="2023-08-26T00:00:00"/>
    <x v="7"/>
    <x v="0"/>
    <x v="0"/>
    <n v="2"/>
    <x v="2"/>
    <s v="*"/>
    <s v="*"/>
    <s v="*"/>
    <x v="1"/>
    <n v="18.18"/>
  </r>
  <r>
    <d v="2023-08-27T00:00:00"/>
    <x v="7"/>
    <x v="0"/>
    <x v="0"/>
    <n v="2"/>
    <x v="2"/>
    <s v="*"/>
    <s v="*"/>
    <s v="*"/>
    <x v="1"/>
    <n v="18.18"/>
  </r>
  <r>
    <d v="2023-08-27T00:00:00"/>
    <x v="7"/>
    <x v="0"/>
    <x v="1"/>
    <n v="18"/>
    <x v="2"/>
    <s v="*"/>
    <s v="*"/>
    <s v="*"/>
    <x v="1"/>
    <n v="163.62"/>
  </r>
  <r>
    <d v="2023-08-28T00:00:00"/>
    <x v="7"/>
    <x v="0"/>
    <x v="0"/>
    <n v="2"/>
    <x v="0"/>
    <s v="*"/>
    <s v="*"/>
    <s v="*"/>
    <x v="1"/>
    <n v="18.18"/>
  </r>
  <r>
    <d v="2023-08-28T00:00:00"/>
    <x v="7"/>
    <x v="0"/>
    <x v="1"/>
    <n v="2"/>
    <x v="2"/>
    <s v="*"/>
    <s v="*"/>
    <s v="*"/>
    <x v="2"/>
    <n v="18.18"/>
  </r>
  <r>
    <d v="2023-08-28T00:00:00"/>
    <x v="7"/>
    <x v="0"/>
    <x v="1"/>
    <n v="7"/>
    <x v="4"/>
    <s v="*"/>
    <s v="*"/>
    <s v="*"/>
    <x v="5"/>
    <n v="63.629999999999995"/>
  </r>
  <r>
    <d v="2023-08-28T00:00:00"/>
    <x v="7"/>
    <x v="0"/>
    <x v="1"/>
    <n v="26"/>
    <x v="4"/>
    <s v="*"/>
    <s v="*"/>
    <s v="*"/>
    <x v="5"/>
    <n v="236.34"/>
  </r>
  <r>
    <d v="2023-08-28T00:00:00"/>
    <x v="7"/>
    <x v="0"/>
    <x v="0"/>
    <n v="2"/>
    <x v="5"/>
    <s v="*"/>
    <s v="*"/>
    <s v="*"/>
    <x v="5"/>
    <n v="18.18"/>
  </r>
  <r>
    <d v="2023-08-29T00:00:00"/>
    <x v="7"/>
    <x v="0"/>
    <x v="0"/>
    <n v="5"/>
    <x v="2"/>
    <s v="*"/>
    <s v="*"/>
    <s v="*"/>
    <x v="1"/>
    <n v="45.45"/>
  </r>
  <r>
    <d v="2023-08-29T00:00:00"/>
    <x v="7"/>
    <x v="0"/>
    <x v="0"/>
    <n v="2"/>
    <x v="5"/>
    <s v="*"/>
    <s v="*"/>
    <s v="*"/>
    <x v="3"/>
    <n v="18.18"/>
  </r>
  <r>
    <d v="2023-08-30T00:00:00"/>
    <x v="7"/>
    <x v="0"/>
    <x v="0"/>
    <n v="2"/>
    <x v="2"/>
    <s v="*"/>
    <s v="*"/>
    <s v="*"/>
    <x v="3"/>
    <n v="18.18"/>
  </r>
  <r>
    <d v="2023-08-30T00:00:00"/>
    <x v="7"/>
    <x v="0"/>
    <x v="1"/>
    <n v="1"/>
    <x v="2"/>
    <s v="*"/>
    <s v="*"/>
    <s v="*"/>
    <x v="3"/>
    <n v="9.09"/>
  </r>
  <r>
    <d v="2023-09-01T00:00:00"/>
    <x v="8"/>
    <x v="0"/>
    <x v="0"/>
    <n v="5"/>
    <x v="2"/>
    <s v="*"/>
    <s v="*"/>
    <s v="*"/>
    <x v="1"/>
    <n v="45.45"/>
  </r>
  <r>
    <d v="2023-09-03T00:00:00"/>
    <x v="8"/>
    <x v="0"/>
    <x v="0"/>
    <n v="4"/>
    <x v="7"/>
    <s v="*"/>
    <s v="*"/>
    <s v="*"/>
    <x v="1"/>
    <n v="36.36"/>
  </r>
  <r>
    <d v="2023-09-04T00:00:00"/>
    <x v="8"/>
    <x v="0"/>
    <x v="0"/>
    <n v="2"/>
    <x v="2"/>
    <s v="*"/>
    <s v="*"/>
    <s v="*"/>
    <x v="1"/>
    <n v="18.18"/>
  </r>
  <r>
    <d v="2023-09-05T00:00:00"/>
    <x v="8"/>
    <x v="0"/>
    <x v="1"/>
    <n v="26"/>
    <x v="4"/>
    <s v="*"/>
    <s v="*"/>
    <s v="*"/>
    <x v="5"/>
    <n v="236.34"/>
  </r>
  <r>
    <d v="2023-09-05T00:00:00"/>
    <x v="8"/>
    <x v="0"/>
    <x v="0"/>
    <n v="3"/>
    <x v="0"/>
    <s v="*"/>
    <s v="*"/>
    <s v="*"/>
    <x v="0"/>
    <n v="27.27"/>
  </r>
  <r>
    <d v="2023-09-05T00:00:00"/>
    <x v="8"/>
    <x v="0"/>
    <x v="1"/>
    <n v="26"/>
    <x v="4"/>
    <s v="*"/>
    <s v="*"/>
    <s v="*"/>
    <x v="2"/>
    <n v="236.34"/>
  </r>
  <r>
    <d v="2023-09-05T00:00:00"/>
    <x v="8"/>
    <x v="0"/>
    <x v="1"/>
    <n v="4"/>
    <x v="4"/>
    <s v="*"/>
    <s v="*"/>
    <s v="*"/>
    <x v="1"/>
    <n v="36.36"/>
  </r>
  <r>
    <d v="2023-09-05T00:00:00"/>
    <x v="8"/>
    <x v="0"/>
    <x v="0"/>
    <n v="2"/>
    <x v="1"/>
    <s v="*"/>
    <s v="*"/>
    <s v="*"/>
    <x v="2"/>
    <n v="18.18"/>
  </r>
  <r>
    <d v="2023-09-09T00:00:00"/>
    <x v="8"/>
    <x v="0"/>
    <x v="1"/>
    <n v="1"/>
    <x v="0"/>
    <s v="*"/>
    <s v="*"/>
    <s v="*"/>
    <x v="0"/>
    <n v="9.09"/>
  </r>
  <r>
    <d v="2023-09-10T00:00:00"/>
    <x v="8"/>
    <x v="0"/>
    <x v="1"/>
    <n v="3"/>
    <x v="2"/>
    <s v="*"/>
    <s v="*"/>
    <s v="*"/>
    <x v="3"/>
    <n v="27.27"/>
  </r>
  <r>
    <d v="2023-09-11T00:00:00"/>
    <x v="8"/>
    <x v="0"/>
    <x v="1"/>
    <n v="10"/>
    <x v="1"/>
    <s v="*"/>
    <s v="*"/>
    <s v="*"/>
    <x v="1"/>
    <n v="90.9"/>
  </r>
  <r>
    <d v="2023-09-11T00:00:00"/>
    <x v="8"/>
    <x v="0"/>
    <x v="1"/>
    <n v="26"/>
    <x v="4"/>
    <s v="*"/>
    <s v="*"/>
    <s v="*"/>
    <x v="3"/>
    <n v="236.34"/>
  </r>
  <r>
    <d v="2023-09-12T00:00:00"/>
    <x v="8"/>
    <x v="0"/>
    <x v="0"/>
    <n v="4"/>
    <x v="2"/>
    <s v="*"/>
    <s v="*"/>
    <s v="*"/>
    <x v="0"/>
    <n v="36.36"/>
  </r>
  <r>
    <d v="2023-09-13T00:00:00"/>
    <x v="8"/>
    <x v="0"/>
    <x v="0"/>
    <n v="6"/>
    <x v="5"/>
    <s v="*"/>
    <s v="*"/>
    <s v="*"/>
    <x v="5"/>
    <n v="54.54"/>
  </r>
  <r>
    <d v="2023-09-14T00:00:00"/>
    <x v="8"/>
    <x v="0"/>
    <x v="1"/>
    <n v="8"/>
    <x v="1"/>
    <s v="*"/>
    <s v="*"/>
    <s v="*"/>
    <x v="5"/>
    <n v="72.72"/>
  </r>
  <r>
    <d v="2023-09-14T00:00:00"/>
    <x v="8"/>
    <x v="0"/>
    <x v="0"/>
    <n v="5"/>
    <x v="2"/>
    <s v="*"/>
    <s v="*"/>
    <s v="*"/>
    <x v="5"/>
    <n v="45.45"/>
  </r>
  <r>
    <d v="2023-09-17T00:00:00"/>
    <x v="8"/>
    <x v="0"/>
    <x v="1"/>
    <n v="21"/>
    <x v="4"/>
    <s v="*"/>
    <s v="*"/>
    <s v="*"/>
    <x v="6"/>
    <n v="190.89"/>
  </r>
  <r>
    <d v="2023-09-17T00:00:00"/>
    <x v="8"/>
    <x v="0"/>
    <x v="0"/>
    <n v="1"/>
    <x v="0"/>
    <s v="*"/>
    <s v="*"/>
    <s v="*"/>
    <x v="6"/>
    <n v="9.09"/>
  </r>
  <r>
    <d v="2023-09-21T00:00:00"/>
    <x v="8"/>
    <x v="0"/>
    <x v="1"/>
    <n v="26"/>
    <x v="9"/>
    <s v="*"/>
    <s v="*"/>
    <s v="*"/>
    <x v="0"/>
    <n v="236.34"/>
  </r>
  <r>
    <d v="2023-09-23T00:00:00"/>
    <x v="8"/>
    <x v="0"/>
    <x v="0"/>
    <n v="2"/>
    <x v="4"/>
    <s v="*"/>
    <s v="*"/>
    <s v="*"/>
    <x v="0"/>
    <n v="18.18"/>
  </r>
  <r>
    <d v="2023-09-24T00:00:00"/>
    <x v="8"/>
    <x v="0"/>
    <x v="1"/>
    <n v="26"/>
    <x v="4"/>
    <s v="*"/>
    <s v="*"/>
    <s v="*"/>
    <x v="0"/>
    <n v="236.34"/>
  </r>
  <r>
    <d v="2023-09-25T00:00:00"/>
    <x v="8"/>
    <x v="0"/>
    <x v="1"/>
    <n v="26"/>
    <x v="4"/>
    <s v="*"/>
    <s v="*"/>
    <s v="*"/>
    <x v="6"/>
    <n v="236.34"/>
  </r>
  <r>
    <d v="2023-09-27T00:00:00"/>
    <x v="8"/>
    <x v="0"/>
    <x v="1"/>
    <n v="24"/>
    <x v="1"/>
    <s v="*"/>
    <s v="*"/>
    <s v="*"/>
    <x v="0"/>
    <n v="218.16"/>
  </r>
  <r>
    <d v="2023-09-30T00:00:00"/>
    <x v="8"/>
    <x v="0"/>
    <x v="1"/>
    <n v="2"/>
    <x v="0"/>
    <s v="*"/>
    <s v="*"/>
    <s v="*"/>
    <x v="6"/>
    <n v="18.18"/>
  </r>
  <r>
    <d v="2023-10-01T00:00:00"/>
    <x v="9"/>
    <x v="0"/>
    <x v="1"/>
    <n v="26"/>
    <x v="2"/>
    <s v="*"/>
    <s v="*"/>
    <s v="*"/>
    <x v="0"/>
    <n v="236.34"/>
  </r>
  <r>
    <d v="2023-10-01T00:00:00"/>
    <x v="9"/>
    <x v="0"/>
    <x v="1"/>
    <n v="26"/>
    <x v="4"/>
    <s v="*"/>
    <s v="*"/>
    <s v="*"/>
    <x v="2"/>
    <n v="236.34"/>
  </r>
  <r>
    <d v="2023-10-02T00:00:00"/>
    <x v="9"/>
    <x v="0"/>
    <x v="1"/>
    <n v="26"/>
    <x v="4"/>
    <s v="*"/>
    <s v="*"/>
    <s v="*"/>
    <x v="5"/>
    <n v="236.34"/>
  </r>
  <r>
    <d v="2023-10-02T00:00:00"/>
    <x v="9"/>
    <x v="0"/>
    <x v="0"/>
    <n v="2"/>
    <x v="3"/>
    <s v="*"/>
    <s v="*"/>
    <s v="*"/>
    <x v="0"/>
    <n v="18.18"/>
  </r>
  <r>
    <d v="2023-10-03T00:00:00"/>
    <x v="9"/>
    <x v="0"/>
    <x v="0"/>
    <n v="9"/>
    <x v="3"/>
    <s v="*"/>
    <s v="*"/>
    <s v="*"/>
    <x v="5"/>
    <n v="81.81"/>
  </r>
  <r>
    <d v="2023-10-03T00:00:00"/>
    <x v="9"/>
    <x v="0"/>
    <x v="0"/>
    <n v="3"/>
    <x v="2"/>
    <s v="*"/>
    <s v="*"/>
    <s v="*"/>
    <x v="5"/>
    <n v="27.27"/>
  </r>
  <r>
    <d v="2023-10-05T00:00:00"/>
    <x v="9"/>
    <x v="0"/>
    <x v="1"/>
    <n v="5"/>
    <x v="4"/>
    <s v="*"/>
    <s v="*"/>
    <s v="*"/>
    <x v="6"/>
    <n v="45.45"/>
  </r>
  <r>
    <d v="2023-10-06T00:00:00"/>
    <x v="9"/>
    <x v="0"/>
    <x v="0"/>
    <n v="6"/>
    <x v="2"/>
    <s v="*"/>
    <s v="*"/>
    <s v="*"/>
    <x v="0"/>
    <n v="54.54"/>
  </r>
  <r>
    <d v="2023-10-07T00:00:00"/>
    <x v="9"/>
    <x v="0"/>
    <x v="0"/>
    <n v="6"/>
    <x v="4"/>
    <s v="*"/>
    <s v="*"/>
    <s v="*"/>
    <x v="5"/>
    <n v="54.54"/>
  </r>
  <r>
    <d v="2023-10-07T00:00:00"/>
    <x v="9"/>
    <x v="0"/>
    <x v="1"/>
    <n v="6"/>
    <x v="4"/>
    <s v="*"/>
    <s v="*"/>
    <s v="*"/>
    <x v="1"/>
    <n v="54.54"/>
  </r>
  <r>
    <d v="2023-10-08T00:00:00"/>
    <x v="9"/>
    <x v="0"/>
    <x v="1"/>
    <n v="3"/>
    <x v="2"/>
    <s v="*"/>
    <s v="*"/>
    <s v="*"/>
    <x v="6"/>
    <n v="27.27"/>
  </r>
  <r>
    <d v="2023-10-08T00:00:00"/>
    <x v="9"/>
    <x v="0"/>
    <x v="1"/>
    <n v="26"/>
    <x v="4"/>
    <s v="*"/>
    <s v="*"/>
    <s v="*"/>
    <x v="6"/>
    <n v="236.34"/>
  </r>
  <r>
    <d v="2023-10-09T00:00:00"/>
    <x v="9"/>
    <x v="0"/>
    <x v="1"/>
    <n v="26"/>
    <x v="4"/>
    <s v="*"/>
    <s v="*"/>
    <s v="*"/>
    <x v="1"/>
    <n v="236.34"/>
  </r>
  <r>
    <d v="2023-10-09T00:00:00"/>
    <x v="9"/>
    <x v="0"/>
    <x v="0"/>
    <n v="3"/>
    <x v="7"/>
    <s v="*"/>
    <s v="*"/>
    <s v="*"/>
    <x v="3"/>
    <n v="27.27"/>
  </r>
  <r>
    <d v="2023-10-09T00:00:00"/>
    <x v="9"/>
    <x v="0"/>
    <x v="1"/>
    <n v="23"/>
    <x v="4"/>
    <s v="*"/>
    <s v="*"/>
    <s v="*"/>
    <x v="0"/>
    <n v="209.07"/>
  </r>
  <r>
    <d v="2023-10-10T00:00:00"/>
    <x v="9"/>
    <x v="0"/>
    <x v="1"/>
    <n v="24"/>
    <x v="1"/>
    <s v="*"/>
    <s v="*"/>
    <s v="*"/>
    <x v="1"/>
    <n v="218.16"/>
  </r>
  <r>
    <d v="2023-10-10T00:00:00"/>
    <x v="9"/>
    <x v="0"/>
    <x v="1"/>
    <n v="10"/>
    <x v="2"/>
    <s v="*"/>
    <s v="*"/>
    <s v="*"/>
    <x v="6"/>
    <n v="90.9"/>
  </r>
  <r>
    <d v="2023-10-11T00:00:00"/>
    <x v="9"/>
    <x v="0"/>
    <x v="0"/>
    <n v="1"/>
    <x v="7"/>
    <s v="*"/>
    <s v="*"/>
    <s v="*"/>
    <x v="3"/>
    <n v="9.09"/>
  </r>
  <r>
    <d v="2023-10-13T00:00:00"/>
    <x v="9"/>
    <x v="0"/>
    <x v="1"/>
    <n v="3"/>
    <x v="7"/>
    <s v="*"/>
    <s v="*"/>
    <s v="*"/>
    <x v="5"/>
    <n v="27.27"/>
  </r>
  <r>
    <d v="2023-10-15T00:00:00"/>
    <x v="9"/>
    <x v="0"/>
    <x v="1"/>
    <n v="17"/>
    <x v="4"/>
    <s v="*"/>
    <s v="*"/>
    <s v="*"/>
    <x v="1"/>
    <n v="154.53"/>
  </r>
  <r>
    <d v="2023-10-16T00:00:00"/>
    <x v="9"/>
    <x v="0"/>
    <x v="1"/>
    <n v="26"/>
    <x v="4"/>
    <s v="*"/>
    <s v="*"/>
    <s v="*"/>
    <x v="3"/>
    <n v="236.34"/>
  </r>
  <r>
    <d v="2023-10-17T00:00:00"/>
    <x v="9"/>
    <x v="0"/>
    <x v="0"/>
    <n v="3"/>
    <x v="5"/>
    <s v="*"/>
    <s v="*"/>
    <s v="*"/>
    <x v="0"/>
    <n v="27.27"/>
  </r>
  <r>
    <d v="2023-10-18T00:00:00"/>
    <x v="9"/>
    <x v="0"/>
    <x v="0"/>
    <n v="7"/>
    <x v="2"/>
    <s v="*"/>
    <s v="*"/>
    <s v="*"/>
    <x v="6"/>
    <n v="63.629999999999995"/>
  </r>
  <r>
    <d v="2023-10-19T00:00:00"/>
    <x v="9"/>
    <x v="0"/>
    <x v="0"/>
    <n v="3"/>
    <x v="2"/>
    <s v="*"/>
    <s v="*"/>
    <s v="*"/>
    <x v="5"/>
    <n v="27.27"/>
  </r>
  <r>
    <d v="2023-10-22T00:00:00"/>
    <x v="9"/>
    <x v="0"/>
    <x v="1"/>
    <n v="2"/>
    <x v="4"/>
    <s v="*"/>
    <s v="*"/>
    <s v="*"/>
    <x v="0"/>
    <n v="18.18"/>
  </r>
  <r>
    <d v="2023-10-23T00:00:00"/>
    <x v="9"/>
    <x v="0"/>
    <x v="1"/>
    <n v="26"/>
    <x v="4"/>
    <s v="*"/>
    <s v="*"/>
    <s v="*"/>
    <x v="0"/>
    <n v="236.34"/>
  </r>
  <r>
    <d v="2023-10-23T00:00:00"/>
    <x v="9"/>
    <x v="0"/>
    <x v="1"/>
    <n v="26"/>
    <x v="4"/>
    <s v="*"/>
    <s v="*"/>
    <s v="*"/>
    <x v="6"/>
    <n v="236.34"/>
  </r>
  <r>
    <d v="2023-10-25T00:00:00"/>
    <x v="9"/>
    <x v="0"/>
    <x v="0"/>
    <n v="2"/>
    <x v="2"/>
    <s v="*"/>
    <s v="*"/>
    <s v="*"/>
    <x v="5"/>
    <n v="18.18"/>
  </r>
  <r>
    <d v="2023-11-01T00:00:00"/>
    <x v="10"/>
    <x v="0"/>
    <x v="1"/>
    <n v="2"/>
    <x v="0"/>
    <s v="*"/>
    <s v="*"/>
    <s v="*"/>
    <x v="1"/>
    <n v="18.18"/>
  </r>
  <r>
    <d v="2023-11-01T00:00:00"/>
    <x v="10"/>
    <x v="0"/>
    <x v="0"/>
    <n v="1"/>
    <x v="2"/>
    <s v="*"/>
    <s v="*"/>
    <s v="*"/>
    <x v="3"/>
    <n v="9.09"/>
  </r>
  <r>
    <d v="2023-11-02T00:00:00"/>
    <x v="10"/>
    <x v="0"/>
    <x v="1"/>
    <n v="26"/>
    <x v="4"/>
    <s v="*"/>
    <s v="*"/>
    <s v="*"/>
    <x v="1"/>
    <n v="236.34"/>
  </r>
  <r>
    <d v="2023-11-02T00:00:00"/>
    <x v="10"/>
    <x v="0"/>
    <x v="0"/>
    <n v="2"/>
    <x v="2"/>
    <s v="*"/>
    <s v="*"/>
    <s v="*"/>
    <x v="6"/>
    <n v="18.18"/>
  </r>
  <r>
    <d v="2023-11-04T00:00:00"/>
    <x v="10"/>
    <x v="0"/>
    <x v="0"/>
    <n v="4"/>
    <x v="1"/>
    <s v="*"/>
    <s v="*"/>
    <s v="*"/>
    <x v="0"/>
    <n v="36.36"/>
  </r>
  <r>
    <d v="2023-11-05T00:00:00"/>
    <x v="10"/>
    <x v="0"/>
    <x v="1"/>
    <n v="4"/>
    <x v="4"/>
    <s v="*"/>
    <s v="*"/>
    <s v="*"/>
    <x v="0"/>
    <n v="36.36"/>
  </r>
  <r>
    <d v="2023-11-06T00:00:00"/>
    <x v="10"/>
    <x v="0"/>
    <x v="1"/>
    <n v="4"/>
    <x v="2"/>
    <s v="*"/>
    <s v="*"/>
    <s v="*"/>
    <x v="6"/>
    <n v="36.36"/>
  </r>
  <r>
    <d v="2023-11-06T00:00:00"/>
    <x v="10"/>
    <x v="0"/>
    <x v="1"/>
    <n v="6"/>
    <x v="0"/>
    <s v="*"/>
    <s v="*"/>
    <s v="*"/>
    <x v="3"/>
    <n v="54.54"/>
  </r>
  <r>
    <d v="2023-11-06T00:00:00"/>
    <x v="10"/>
    <x v="0"/>
    <x v="1"/>
    <n v="24"/>
    <x v="0"/>
    <s v="*"/>
    <s v="*"/>
    <s v="*"/>
    <x v="0"/>
    <n v="218.16"/>
  </r>
  <r>
    <d v="2023-11-08T00:00:00"/>
    <x v="10"/>
    <x v="0"/>
    <x v="0"/>
    <n v="3"/>
    <x v="5"/>
    <s v="*"/>
    <s v="*"/>
    <s v="*"/>
    <x v="2"/>
    <n v="27.27"/>
  </r>
  <r>
    <d v="2023-11-10T00:00:00"/>
    <x v="10"/>
    <x v="0"/>
    <x v="0"/>
    <n v="4"/>
    <x v="4"/>
    <s v="*"/>
    <s v="*"/>
    <s v="*"/>
    <x v="5"/>
    <n v="36.36"/>
  </r>
  <r>
    <d v="2023-11-11T00:00:00"/>
    <x v="10"/>
    <x v="0"/>
    <x v="1"/>
    <n v="2"/>
    <x v="0"/>
    <s v="*"/>
    <s v="*"/>
    <s v="*"/>
    <x v="0"/>
    <n v="18.18"/>
  </r>
  <r>
    <d v="2023-11-11T00:00:00"/>
    <x v="10"/>
    <x v="0"/>
    <x v="0"/>
    <n v="10"/>
    <x v="2"/>
    <s v="*"/>
    <s v="*"/>
    <s v="*"/>
    <x v="3"/>
    <n v="90.9"/>
  </r>
  <r>
    <d v="2023-11-12T00:00:00"/>
    <x v="10"/>
    <x v="0"/>
    <x v="0"/>
    <n v="3"/>
    <x v="4"/>
    <s v="*"/>
    <s v="*"/>
    <s v="*"/>
    <x v="3"/>
    <n v="27.27"/>
  </r>
  <r>
    <d v="2023-11-12T00:00:00"/>
    <x v="10"/>
    <x v="0"/>
    <x v="0"/>
    <n v="7"/>
    <x v="4"/>
    <s v="*"/>
    <s v="*"/>
    <s v="*"/>
    <x v="5"/>
    <n v="63.629999999999995"/>
  </r>
  <r>
    <d v="2023-11-13T00:00:00"/>
    <x v="10"/>
    <x v="0"/>
    <x v="1"/>
    <n v="26"/>
    <x v="0"/>
    <s v="*"/>
    <s v="*"/>
    <s v="*"/>
    <x v="0"/>
    <n v="236.34"/>
  </r>
  <r>
    <d v="2023-11-13T00:00:00"/>
    <x v="10"/>
    <x v="0"/>
    <x v="0"/>
    <n v="5"/>
    <x v="0"/>
    <s v="*"/>
    <s v="*"/>
    <s v="*"/>
    <x v="5"/>
    <n v="45.45"/>
  </r>
  <r>
    <d v="2023-11-13T00:00:00"/>
    <x v="10"/>
    <x v="0"/>
    <x v="0"/>
    <n v="3"/>
    <x v="4"/>
    <s v="*"/>
    <s v="*"/>
    <s v="*"/>
    <x v="3"/>
    <n v="27.27"/>
  </r>
  <r>
    <d v="2023-11-17T00:00:00"/>
    <x v="10"/>
    <x v="0"/>
    <x v="1"/>
    <n v="3"/>
    <x v="4"/>
    <s v="*"/>
    <s v="*"/>
    <s v="*"/>
    <x v="3"/>
    <n v="27.27"/>
  </r>
  <r>
    <d v="2023-11-20T00:00:00"/>
    <x v="10"/>
    <x v="0"/>
    <x v="1"/>
    <n v="3"/>
    <x v="4"/>
    <s v="*"/>
    <s v="*"/>
    <s v="*"/>
    <x v="1"/>
    <n v="27.27"/>
  </r>
  <r>
    <d v="2023-11-21T00:00:00"/>
    <x v="10"/>
    <x v="0"/>
    <x v="0"/>
    <n v="4"/>
    <x v="5"/>
    <s v="*"/>
    <s v="*"/>
    <s v="*"/>
    <x v="5"/>
    <n v="36.36"/>
  </r>
  <r>
    <d v="2023-11-21T00:00:00"/>
    <x v="10"/>
    <x v="0"/>
    <x v="0"/>
    <n v="2"/>
    <x v="5"/>
    <s v="*"/>
    <s v="*"/>
    <s v="*"/>
    <x v="1"/>
    <n v="18.18"/>
  </r>
  <r>
    <d v="2023-11-22T00:00:00"/>
    <x v="10"/>
    <x v="0"/>
    <x v="0"/>
    <n v="5"/>
    <x v="3"/>
    <s v="*"/>
    <s v="*"/>
    <s v="*"/>
    <x v="1"/>
    <n v="45.45"/>
  </r>
  <r>
    <d v="2023-11-25T00:00:00"/>
    <x v="10"/>
    <x v="0"/>
    <x v="0"/>
    <n v="6"/>
    <x v="2"/>
    <s v="*"/>
    <s v="*"/>
    <s v="*"/>
    <x v="5"/>
    <n v="54.54"/>
  </r>
  <r>
    <d v="2023-11-27T00:00:00"/>
    <x v="10"/>
    <x v="0"/>
    <x v="1"/>
    <n v="2"/>
    <x v="9"/>
    <s v="*"/>
    <s v="*"/>
    <s v="*"/>
    <x v="0"/>
    <n v="18.18"/>
  </r>
  <r>
    <d v="2023-11-27T00:00:00"/>
    <x v="10"/>
    <x v="0"/>
    <x v="1"/>
    <n v="0"/>
    <x v="4"/>
    <s v="*"/>
    <s v="*"/>
    <s v="*"/>
    <x v="6"/>
    <n v="0"/>
  </r>
  <r>
    <d v="2023-11-27T00:00:00"/>
    <x v="10"/>
    <x v="0"/>
    <x v="1"/>
    <n v="0"/>
    <x v="4"/>
    <s v="*"/>
    <s v="*"/>
    <s v="*"/>
    <x v="6"/>
    <n v="0"/>
  </r>
  <r>
    <d v="2023-11-28T00:00:00"/>
    <x v="10"/>
    <x v="0"/>
    <x v="1"/>
    <n v="2"/>
    <x v="2"/>
    <s v="*"/>
    <s v="*"/>
    <s v="*"/>
    <x v="1"/>
    <n v="18.18"/>
  </r>
  <r>
    <d v="2023-11-28T00:00:00"/>
    <x v="10"/>
    <x v="0"/>
    <x v="1"/>
    <n v="3"/>
    <x v="9"/>
    <s v="*"/>
    <s v="*"/>
    <s v="*"/>
    <x v="1"/>
    <n v="27.27"/>
  </r>
  <r>
    <d v="2023-11-28T00:00:00"/>
    <x v="10"/>
    <x v="0"/>
    <x v="0"/>
    <n v="4"/>
    <x v="5"/>
    <s v="*"/>
    <s v="*"/>
    <s v="*"/>
    <x v="1"/>
    <n v="36.36"/>
  </r>
  <r>
    <d v="2023-11-28T00:00:00"/>
    <x v="10"/>
    <x v="0"/>
    <x v="1"/>
    <n v="26"/>
    <x v="4"/>
    <s v="*"/>
    <s v="*"/>
    <s v="*"/>
    <x v="5"/>
    <n v="236.34"/>
  </r>
  <r>
    <d v="2023-11-30T00:00:00"/>
    <x v="10"/>
    <x v="0"/>
    <x v="0"/>
    <n v="4"/>
    <x v="9"/>
    <s v="*"/>
    <s v="*"/>
    <s v="*"/>
    <x v="0"/>
    <n v="36.36"/>
  </r>
  <r>
    <d v="2023-11-30T00:00:00"/>
    <x v="10"/>
    <x v="0"/>
    <x v="1"/>
    <n v="44"/>
    <x v="9"/>
    <s v="*"/>
    <s v="*"/>
    <s v="*"/>
    <x v="3"/>
    <n v="399.96"/>
  </r>
  <r>
    <d v="2023-12-01T00:00:00"/>
    <x v="11"/>
    <x v="0"/>
    <x v="0"/>
    <n v="2"/>
    <x v="0"/>
    <s v="*"/>
    <s v="*"/>
    <s v="*"/>
    <x v="3"/>
    <n v="18.18"/>
  </r>
  <r>
    <d v="2023-12-01T00:00:00"/>
    <x v="11"/>
    <x v="0"/>
    <x v="1"/>
    <n v="5"/>
    <x v="2"/>
    <s v="*"/>
    <s v="*"/>
    <s v="*"/>
    <x v="3"/>
    <n v="45.45"/>
  </r>
  <r>
    <d v="2023-12-01T00:00:00"/>
    <x v="11"/>
    <x v="0"/>
    <x v="1"/>
    <n v="26"/>
    <x v="2"/>
    <s v="*"/>
    <s v="*"/>
    <s v="*"/>
    <x v="5"/>
    <n v="236.34"/>
  </r>
  <r>
    <d v="2023-12-02T00:00:00"/>
    <x v="11"/>
    <x v="0"/>
    <x v="1"/>
    <n v="2"/>
    <x v="2"/>
    <s v="*"/>
    <s v="*"/>
    <s v="*"/>
    <x v="3"/>
    <n v="18.18"/>
  </r>
  <r>
    <d v="2023-12-03T00:00:00"/>
    <x v="11"/>
    <x v="0"/>
    <x v="1"/>
    <n v="2"/>
    <x v="2"/>
    <s v="*"/>
    <s v="*"/>
    <s v="*"/>
    <x v="3"/>
    <n v="18.18"/>
  </r>
  <r>
    <d v="2023-12-04T00:00:00"/>
    <x v="11"/>
    <x v="0"/>
    <x v="0"/>
    <n v="26"/>
    <x v="4"/>
    <s v="*"/>
    <s v="*"/>
    <s v="*"/>
    <x v="5"/>
    <n v="236.34"/>
  </r>
  <r>
    <d v="2023-12-06T00:00:00"/>
    <x v="11"/>
    <x v="0"/>
    <x v="0"/>
    <n v="3"/>
    <x v="2"/>
    <s v="*"/>
    <s v="*"/>
    <s v="*"/>
    <x v="0"/>
    <n v="27.27"/>
  </r>
  <r>
    <d v="2023-12-07T00:00:00"/>
    <x v="11"/>
    <x v="0"/>
    <x v="1"/>
    <n v="4"/>
    <x v="4"/>
    <s v="*"/>
    <s v="*"/>
    <s v="*"/>
    <x v="1"/>
    <n v="36.36"/>
  </r>
  <r>
    <d v="2023-12-08T00:00:00"/>
    <x v="11"/>
    <x v="0"/>
    <x v="0"/>
    <n v="6"/>
    <x v="7"/>
    <s v="*"/>
    <s v="*"/>
    <s v="*"/>
    <x v="5"/>
    <n v="54.54"/>
  </r>
  <r>
    <d v="2023-12-09T00:00:00"/>
    <x v="11"/>
    <x v="0"/>
    <x v="0"/>
    <n v="0"/>
    <x v="5"/>
    <s v="*"/>
    <s v="*"/>
    <s v="*"/>
    <x v="0"/>
    <n v="0"/>
  </r>
  <r>
    <d v="2023-12-09T00:00:00"/>
    <x v="11"/>
    <x v="0"/>
    <x v="0"/>
    <n v="3"/>
    <x v="2"/>
    <s v="*"/>
    <s v="*"/>
    <s v="*"/>
    <x v="3"/>
    <n v="27.27"/>
  </r>
  <r>
    <d v="2023-12-10T00:00:00"/>
    <x v="11"/>
    <x v="0"/>
    <x v="0"/>
    <n v="4"/>
    <x v="10"/>
    <s v="*"/>
    <s v="*"/>
    <s v="*"/>
    <x v="3"/>
    <n v="36.36"/>
  </r>
  <r>
    <d v="2023-12-10T00:00:00"/>
    <x v="11"/>
    <x v="0"/>
    <x v="0"/>
    <n v="4"/>
    <x v="10"/>
    <s v="*"/>
    <s v="*"/>
    <s v="*"/>
    <x v="3"/>
    <n v="36.36"/>
  </r>
  <r>
    <d v="2023-12-10T00:00:00"/>
    <x v="11"/>
    <x v="0"/>
    <x v="0"/>
    <n v="4"/>
    <x v="10"/>
    <s v="*"/>
    <s v="*"/>
    <s v="*"/>
    <x v="3"/>
    <n v="36.36"/>
  </r>
  <r>
    <d v="2023-12-10T00:00:00"/>
    <x v="11"/>
    <x v="0"/>
    <x v="1"/>
    <n v="9"/>
    <x v="11"/>
    <s v="*"/>
    <s v="*"/>
    <s v="*"/>
    <x v="3"/>
    <n v="81.81"/>
  </r>
  <r>
    <d v="2023-12-11T00:00:00"/>
    <x v="11"/>
    <x v="0"/>
    <x v="0"/>
    <n v="5"/>
    <x v="0"/>
    <s v="*"/>
    <s v="*"/>
    <s v="*"/>
    <x v="3"/>
    <n v="45.45"/>
  </r>
  <r>
    <d v="2023-12-11T00:00:00"/>
    <x v="11"/>
    <x v="0"/>
    <x v="0"/>
    <n v="6"/>
    <x v="11"/>
    <s v="*"/>
    <s v="*"/>
    <s v="*"/>
    <x v="2"/>
    <n v="54.54"/>
  </r>
  <r>
    <d v="2023-12-11T00:00:00"/>
    <x v="11"/>
    <x v="0"/>
    <x v="0"/>
    <n v="5"/>
    <x v="5"/>
    <s v="*"/>
    <s v="*"/>
    <s v="*"/>
    <x v="5"/>
    <n v="45.45"/>
  </r>
  <r>
    <d v="2023-12-11T00:00:00"/>
    <x v="11"/>
    <x v="0"/>
    <x v="0"/>
    <n v="5"/>
    <x v="5"/>
    <s v="*"/>
    <s v="*"/>
    <s v="*"/>
    <x v="2"/>
    <n v="45.45"/>
  </r>
  <r>
    <d v="2023-12-11T00:00:00"/>
    <x v="11"/>
    <x v="0"/>
    <x v="0"/>
    <n v="4"/>
    <x v="7"/>
    <s v="*"/>
    <s v="*"/>
    <s v="*"/>
    <x v="2"/>
    <n v="36.36"/>
  </r>
  <r>
    <d v="2023-12-12T00:00:00"/>
    <x v="11"/>
    <x v="0"/>
    <x v="0"/>
    <n v="3"/>
    <x v="5"/>
    <s v="*"/>
    <s v="*"/>
    <s v="*"/>
    <x v="2"/>
    <n v="27.27"/>
  </r>
  <r>
    <d v="2023-12-14T00:00:00"/>
    <x v="11"/>
    <x v="0"/>
    <x v="0"/>
    <n v="4"/>
    <x v="1"/>
    <s v="*"/>
    <s v="*"/>
    <s v="*"/>
    <x v="5"/>
    <n v="36.36"/>
  </r>
  <r>
    <d v="2023-12-14T00:00:00"/>
    <x v="11"/>
    <x v="0"/>
    <x v="0"/>
    <n v="2"/>
    <x v="3"/>
    <s v="*"/>
    <s v="*"/>
    <s v="*"/>
    <x v="5"/>
    <n v="18.18"/>
  </r>
  <r>
    <d v="2023-12-15T00:00:00"/>
    <x v="11"/>
    <x v="0"/>
    <x v="0"/>
    <n v="1"/>
    <x v="0"/>
    <s v="*"/>
    <s v="*"/>
    <s v="*"/>
    <x v="5"/>
    <n v="9.09"/>
  </r>
  <r>
    <d v="2023-12-16T00:00:00"/>
    <x v="11"/>
    <x v="0"/>
    <x v="1"/>
    <n v="26"/>
    <x v="4"/>
    <s v="*"/>
    <s v="*"/>
    <s v="*"/>
    <x v="3"/>
    <n v="236.34"/>
  </r>
  <r>
    <d v="2023-12-16T00:00:00"/>
    <x v="11"/>
    <x v="0"/>
    <x v="0"/>
    <n v="4"/>
    <x v="2"/>
    <s v="*"/>
    <s v="*"/>
    <s v="*"/>
    <x v="2"/>
    <n v="36.36"/>
  </r>
  <r>
    <d v="2023-12-17T00:00:00"/>
    <x v="11"/>
    <x v="0"/>
    <x v="1"/>
    <n v="0"/>
    <x v="2"/>
    <s v="*"/>
    <s v="*"/>
    <s v="*"/>
    <x v="0"/>
    <n v="0"/>
  </r>
  <r>
    <d v="2023-12-18T00:00:00"/>
    <x v="11"/>
    <x v="0"/>
    <x v="1"/>
    <n v="24"/>
    <x v="1"/>
    <s v="*"/>
    <s v="*"/>
    <s v="*"/>
    <x v="0"/>
    <n v="218.16"/>
  </r>
  <r>
    <d v="2023-12-18T00:00:00"/>
    <x v="11"/>
    <x v="0"/>
    <x v="0"/>
    <n v="3"/>
    <x v="2"/>
    <s v="*"/>
    <s v="*"/>
    <s v="*"/>
    <x v="2"/>
    <n v="27.27"/>
  </r>
  <r>
    <d v="2023-12-18T00:00:00"/>
    <x v="11"/>
    <x v="0"/>
    <x v="1"/>
    <n v="26"/>
    <x v="3"/>
    <s v="*"/>
    <s v="*"/>
    <s v="*"/>
    <x v="2"/>
    <n v="236.34"/>
  </r>
  <r>
    <d v="2023-12-18T00:00:00"/>
    <x v="11"/>
    <x v="0"/>
    <x v="0"/>
    <n v="18"/>
    <x v="7"/>
    <s v="*"/>
    <s v="*"/>
    <s v="*"/>
    <x v="2"/>
    <n v="163.62"/>
  </r>
  <r>
    <d v="2023-12-19T00:00:00"/>
    <x v="11"/>
    <x v="0"/>
    <x v="1"/>
    <n v="3"/>
    <x v="4"/>
    <s v="*"/>
    <s v="*"/>
    <s v="*"/>
    <x v="1"/>
    <n v="27.27"/>
  </r>
  <r>
    <d v="2023-12-21T00:00:00"/>
    <x v="11"/>
    <x v="0"/>
    <x v="0"/>
    <n v="1"/>
    <x v="2"/>
    <s v="*"/>
    <s v="*"/>
    <s v="*"/>
    <x v="3"/>
    <n v="9.09"/>
  </r>
  <r>
    <d v="2023-12-23T00:00:00"/>
    <x v="11"/>
    <x v="0"/>
    <x v="1"/>
    <n v="26"/>
    <x v="4"/>
    <s v="*"/>
    <s v="*"/>
    <s v="*"/>
    <x v="0"/>
    <n v="236.34"/>
  </r>
  <r>
    <d v="2023-12-26T00:00:00"/>
    <x v="11"/>
    <x v="0"/>
    <x v="1"/>
    <n v="4"/>
    <x v="4"/>
    <s v="*"/>
    <s v="*"/>
    <s v="*"/>
    <x v="3"/>
    <n v="36.36"/>
  </r>
  <r>
    <d v="2023-12-27T00:00:00"/>
    <x v="11"/>
    <x v="0"/>
    <x v="0"/>
    <n v="5"/>
    <x v="4"/>
    <s v="*"/>
    <s v="*"/>
    <s v="*"/>
    <x v="0"/>
    <n v="45.45"/>
  </r>
  <r>
    <d v="2023-12-27T00:00:00"/>
    <x v="11"/>
    <x v="0"/>
    <x v="0"/>
    <n v="2"/>
    <x v="10"/>
    <s v="*"/>
    <s v="*"/>
    <s v="*"/>
    <x v="0"/>
    <n v="18.18"/>
  </r>
  <r>
    <d v="2023-12-27T00:00:00"/>
    <x v="11"/>
    <x v="0"/>
    <x v="0"/>
    <n v="2"/>
    <x v="2"/>
    <s v="*"/>
    <s v="*"/>
    <s v="*"/>
    <x v="0"/>
    <n v="18.18"/>
  </r>
  <r>
    <d v="2023-12-29T00:00:00"/>
    <x v="11"/>
    <x v="0"/>
    <x v="0"/>
    <n v="4"/>
    <x v="2"/>
    <s v="*"/>
    <s v="*"/>
    <s v="*"/>
    <x v="2"/>
    <n v="36.36"/>
  </r>
  <r>
    <d v="2023-12-29T00:00:00"/>
    <x v="11"/>
    <x v="0"/>
    <x v="0"/>
    <n v="2"/>
    <x v="4"/>
    <s v="*"/>
    <s v="*"/>
    <s v="*"/>
    <x v="5"/>
    <n v="18.18"/>
  </r>
  <r>
    <d v="2023-12-24T00:00:00"/>
    <x v="11"/>
    <x v="0"/>
    <x v="0"/>
    <n v="4"/>
    <x v="3"/>
    <s v="*"/>
    <s v="*"/>
    <s v="*"/>
    <x v="0"/>
    <n v="36.36"/>
  </r>
  <r>
    <d v="2023-01-02T00:00:00"/>
    <x v="0"/>
    <x v="0"/>
    <x v="0"/>
    <n v="2"/>
    <x v="1"/>
    <s v="*"/>
    <s v="*"/>
    <s v="*"/>
    <x v="0"/>
    <n v="18.18"/>
  </r>
  <r>
    <d v="2023-01-02T00:00:00"/>
    <x v="0"/>
    <x v="0"/>
    <x v="1"/>
    <n v="1"/>
    <x v="2"/>
    <s v="*"/>
    <s v="*"/>
    <s v="*"/>
    <x v="0"/>
    <n v="9.09"/>
  </r>
  <r>
    <d v="2023-01-02T00:00:00"/>
    <x v="0"/>
    <x v="0"/>
    <x v="1"/>
    <n v="3"/>
    <x v="2"/>
    <s v="*"/>
    <s v="*"/>
    <s v="*"/>
    <x v="0"/>
    <n v="27.27"/>
  </r>
  <r>
    <d v="2023-01-02T00:00:00"/>
    <x v="0"/>
    <x v="0"/>
    <x v="1"/>
    <n v="1"/>
    <x v="2"/>
    <s v="*"/>
    <s v="*"/>
    <s v="*"/>
    <x v="1"/>
    <n v="9.09"/>
  </r>
  <r>
    <d v="2023-01-03T00:00:00"/>
    <x v="0"/>
    <x v="0"/>
    <x v="1"/>
    <n v="26"/>
    <x v="4"/>
    <s v="*"/>
    <s v="*"/>
    <s v="*"/>
    <x v="1"/>
    <n v="236.34"/>
  </r>
  <r>
    <d v="2023-01-03T00:00:00"/>
    <x v="0"/>
    <x v="0"/>
    <x v="0"/>
    <n v="8"/>
    <x v="3"/>
    <s v="*"/>
    <s v="*"/>
    <s v="*"/>
    <x v="0"/>
    <n v="72.72"/>
  </r>
  <r>
    <d v="2023-01-03T00:00:00"/>
    <x v="0"/>
    <x v="0"/>
    <x v="1"/>
    <n v="24"/>
    <x v="4"/>
    <s v="*"/>
    <s v="*"/>
    <s v="*"/>
    <x v="0"/>
    <n v="218.16"/>
  </r>
  <r>
    <d v="2023-01-04T00:00:00"/>
    <x v="0"/>
    <x v="0"/>
    <x v="0"/>
    <n v="2"/>
    <x v="3"/>
    <s v="*"/>
    <s v="*"/>
    <s v="*"/>
    <x v="0"/>
    <n v="18.18"/>
  </r>
  <r>
    <d v="2023-01-04T00:00:00"/>
    <x v="0"/>
    <x v="0"/>
    <x v="0"/>
    <n v="10"/>
    <x v="7"/>
    <s v="*"/>
    <s v="*"/>
    <s v="*"/>
    <x v="5"/>
    <n v="90.9"/>
  </r>
  <r>
    <d v="2023-01-05T00:00:00"/>
    <x v="0"/>
    <x v="0"/>
    <x v="0"/>
    <n v="3"/>
    <x v="2"/>
    <s v="*"/>
    <s v="*"/>
    <s v="*"/>
    <x v="5"/>
    <n v="27.27"/>
  </r>
  <r>
    <d v="2023-01-05T00:00:00"/>
    <x v="0"/>
    <x v="0"/>
    <x v="0"/>
    <n v="2"/>
    <x v="2"/>
    <s v="*"/>
    <s v="*"/>
    <s v="*"/>
    <x v="0"/>
    <n v="18.18"/>
  </r>
  <r>
    <d v="2023-01-06T00:00:00"/>
    <x v="0"/>
    <x v="0"/>
    <x v="0"/>
    <n v="7"/>
    <x v="2"/>
    <s v="*"/>
    <s v="*"/>
    <s v="*"/>
    <x v="1"/>
    <n v="63.629999999999995"/>
  </r>
  <r>
    <d v="2023-01-06T00:00:00"/>
    <x v="0"/>
    <x v="0"/>
    <x v="1"/>
    <n v="4"/>
    <x v="7"/>
    <s v="*"/>
    <s v="*"/>
    <s v="*"/>
    <x v="1"/>
    <n v="36.36"/>
  </r>
  <r>
    <d v="2023-01-06T00:00:00"/>
    <x v="0"/>
    <x v="0"/>
    <x v="1"/>
    <n v="26"/>
    <x v="4"/>
    <s v="*"/>
    <s v="*"/>
    <s v="*"/>
    <x v="0"/>
    <n v="236.34"/>
  </r>
  <r>
    <d v="2023-01-06T00:00:00"/>
    <x v="0"/>
    <x v="0"/>
    <x v="0"/>
    <n v="2"/>
    <x v="2"/>
    <s v="*"/>
    <s v="*"/>
    <s v="*"/>
    <x v="0"/>
    <n v="18.18"/>
  </r>
  <r>
    <d v="2023-01-07T00:00:00"/>
    <x v="0"/>
    <x v="0"/>
    <x v="1"/>
    <n v="2"/>
    <x v="0"/>
    <s v="*"/>
    <s v="*"/>
    <s v="*"/>
    <x v="2"/>
    <n v="18.18"/>
  </r>
  <r>
    <d v="2023-01-07T00:00:00"/>
    <x v="0"/>
    <x v="0"/>
    <x v="0"/>
    <n v="2"/>
    <x v="4"/>
    <s v="*"/>
    <s v="*"/>
    <s v="*"/>
    <x v="2"/>
    <n v="18.18"/>
  </r>
  <r>
    <d v="2023-01-08T00:00:00"/>
    <x v="0"/>
    <x v="0"/>
    <x v="0"/>
    <n v="10"/>
    <x v="5"/>
    <s v="*"/>
    <s v="*"/>
    <s v="*"/>
    <x v="2"/>
    <n v="90.9"/>
  </r>
  <r>
    <d v="2023-01-10T00:00:00"/>
    <x v="0"/>
    <x v="0"/>
    <x v="0"/>
    <n v="4"/>
    <x v="2"/>
    <s v="*"/>
    <s v="*"/>
    <s v="*"/>
    <x v="0"/>
    <n v="36.36"/>
  </r>
  <r>
    <d v="2023-01-10T00:00:00"/>
    <x v="0"/>
    <x v="0"/>
    <x v="0"/>
    <n v="2"/>
    <x v="2"/>
    <s v="*"/>
    <s v="*"/>
    <s v="*"/>
    <x v="0"/>
    <n v="18.18"/>
  </r>
  <r>
    <d v="2023-01-13T00:00:00"/>
    <x v="0"/>
    <x v="0"/>
    <x v="1"/>
    <n v="3"/>
    <x v="4"/>
    <s v="*"/>
    <s v="*"/>
    <s v="*"/>
    <x v="3"/>
    <n v="27.27"/>
  </r>
  <r>
    <d v="2023-01-13T00:00:00"/>
    <x v="0"/>
    <x v="0"/>
    <x v="0"/>
    <n v="5"/>
    <x v="7"/>
    <s v="*"/>
    <s v="*"/>
    <s v="*"/>
    <x v="0"/>
    <n v="45.45"/>
  </r>
  <r>
    <d v="2023-01-16T00:00:00"/>
    <x v="0"/>
    <x v="0"/>
    <x v="1"/>
    <n v="4"/>
    <x v="4"/>
    <s v="*"/>
    <s v="*"/>
    <s v="*"/>
    <x v="2"/>
    <n v="36.36"/>
  </r>
  <r>
    <d v="2023-01-16T00:00:00"/>
    <x v="0"/>
    <x v="0"/>
    <x v="1"/>
    <n v="4"/>
    <x v="7"/>
    <s v="*"/>
    <s v="*"/>
    <s v="*"/>
    <x v="3"/>
    <n v="36.36"/>
  </r>
  <r>
    <d v="2023-01-16T00:00:00"/>
    <x v="0"/>
    <x v="0"/>
    <x v="1"/>
    <n v="24"/>
    <x v="7"/>
    <s v="*"/>
    <s v="*"/>
    <s v="*"/>
    <x v="6"/>
    <n v="218.16"/>
  </r>
  <r>
    <d v="2023-01-18T00:00:00"/>
    <x v="0"/>
    <x v="0"/>
    <x v="1"/>
    <n v="26"/>
    <x v="4"/>
    <s v="*"/>
    <s v="*"/>
    <s v="*"/>
    <x v="5"/>
    <n v="236.34"/>
  </r>
  <r>
    <d v="2023-01-18T00:00:00"/>
    <x v="0"/>
    <x v="0"/>
    <x v="0"/>
    <n v="8"/>
    <x v="4"/>
    <s v="*"/>
    <s v="*"/>
    <s v="*"/>
    <x v="5"/>
    <n v="72.72"/>
  </r>
  <r>
    <d v="2023-01-20T00:00:00"/>
    <x v="0"/>
    <x v="0"/>
    <x v="1"/>
    <n v="3"/>
    <x v="7"/>
    <s v="*"/>
    <s v="*"/>
    <s v="*"/>
    <x v="0"/>
    <n v="27.27"/>
  </r>
  <r>
    <d v="2023-01-20T00:00:00"/>
    <x v="0"/>
    <x v="0"/>
    <x v="1"/>
    <n v="2"/>
    <x v="4"/>
    <s v="*"/>
    <s v="*"/>
    <s v="*"/>
    <x v="0"/>
    <n v="18.18"/>
  </r>
  <r>
    <d v="2023-01-21T00:00:00"/>
    <x v="0"/>
    <x v="0"/>
    <x v="1"/>
    <n v="12"/>
    <x v="7"/>
    <s v="*"/>
    <s v="*"/>
    <s v="*"/>
    <x v="3"/>
    <n v="109.08"/>
  </r>
  <r>
    <d v="2023-01-21T00:00:00"/>
    <x v="0"/>
    <x v="0"/>
    <x v="0"/>
    <n v="2"/>
    <x v="1"/>
    <s v="*"/>
    <s v="*"/>
    <s v="*"/>
    <x v="3"/>
    <n v="18.18"/>
  </r>
  <r>
    <d v="2023-01-21T00:00:00"/>
    <x v="0"/>
    <x v="0"/>
    <x v="0"/>
    <n v="3"/>
    <x v="4"/>
    <s v="*"/>
    <s v="*"/>
    <s v="*"/>
    <x v="3"/>
    <n v="27.27"/>
  </r>
  <r>
    <d v="2023-01-22T00:00:00"/>
    <x v="0"/>
    <x v="0"/>
    <x v="0"/>
    <n v="6"/>
    <x v="5"/>
    <s v="*"/>
    <s v="*"/>
    <s v="*"/>
    <x v="3"/>
    <n v="54.54"/>
  </r>
  <r>
    <d v="2023-01-22T00:00:00"/>
    <x v="0"/>
    <x v="0"/>
    <x v="0"/>
    <n v="4"/>
    <x v="2"/>
    <s v="*"/>
    <s v="*"/>
    <s v="*"/>
    <x v="2"/>
    <n v="36.36"/>
  </r>
  <r>
    <d v="2023-01-22T00:00:00"/>
    <x v="0"/>
    <x v="0"/>
    <x v="0"/>
    <n v="7"/>
    <x v="7"/>
    <s v="*"/>
    <s v="*"/>
    <s v="*"/>
    <x v="2"/>
    <n v="63.629999999999995"/>
  </r>
  <r>
    <d v="2023-01-21T00:00:00"/>
    <x v="0"/>
    <x v="0"/>
    <x v="0"/>
    <n v="4"/>
    <x v="2"/>
    <s v="*"/>
    <s v="*"/>
    <s v="*"/>
    <x v="3"/>
    <n v="36.36"/>
  </r>
  <r>
    <d v="2023-01-24T00:00:00"/>
    <x v="0"/>
    <x v="0"/>
    <x v="0"/>
    <n v="4"/>
    <x v="2"/>
    <s v="*"/>
    <s v="*"/>
    <s v="*"/>
    <x v="1"/>
    <n v="36.36"/>
  </r>
  <r>
    <d v="2023-01-24T00:00:00"/>
    <x v="0"/>
    <x v="0"/>
    <x v="1"/>
    <n v="4"/>
    <x v="4"/>
    <s v="*"/>
    <s v="*"/>
    <s v="*"/>
    <x v="1"/>
    <n v="36.36"/>
  </r>
  <r>
    <d v="2023-02-04T00:00:00"/>
    <x v="1"/>
    <x v="0"/>
    <x v="1"/>
    <n v="26"/>
    <x v="4"/>
    <s v="*"/>
    <s v="*"/>
    <s v="*"/>
    <x v="0"/>
    <n v="236.34"/>
  </r>
  <r>
    <d v="2023-02-09T00:00:00"/>
    <x v="1"/>
    <x v="0"/>
    <x v="1"/>
    <n v="26"/>
    <x v="1"/>
    <s v="*"/>
    <s v="*"/>
    <s v="*"/>
    <x v="7"/>
    <n v="236.34"/>
  </r>
  <r>
    <d v="2023-02-09T00:00:00"/>
    <x v="1"/>
    <x v="0"/>
    <x v="1"/>
    <n v="2"/>
    <x v="2"/>
    <s v="*"/>
    <s v="*"/>
    <s v="*"/>
    <x v="0"/>
    <n v="18.18"/>
  </r>
  <r>
    <d v="2023-02-08T00:00:00"/>
    <x v="1"/>
    <x v="0"/>
    <x v="1"/>
    <n v="26"/>
    <x v="4"/>
    <s v="*"/>
    <s v="*"/>
    <s v="*"/>
    <x v="7"/>
    <n v="236.34"/>
  </r>
  <r>
    <d v="2023-02-10T00:00:00"/>
    <x v="1"/>
    <x v="0"/>
    <x v="0"/>
    <n v="2"/>
    <x v="4"/>
    <s v="*"/>
    <s v="*"/>
    <s v="*"/>
    <x v="6"/>
    <n v="18.18"/>
  </r>
  <r>
    <d v="2023-02-14T00:00:00"/>
    <x v="1"/>
    <x v="0"/>
    <x v="1"/>
    <n v="16"/>
    <x v="1"/>
    <s v="*"/>
    <s v="*"/>
    <s v="*"/>
    <x v="0"/>
    <n v="145.44"/>
  </r>
  <r>
    <d v="2023-02-14T00:00:00"/>
    <x v="1"/>
    <x v="0"/>
    <x v="0"/>
    <n v="6"/>
    <x v="7"/>
    <s v="*"/>
    <s v="*"/>
    <s v="*"/>
    <x v="2"/>
    <n v="54.54"/>
  </r>
  <r>
    <d v="2023-02-20T00:00:00"/>
    <x v="1"/>
    <x v="0"/>
    <x v="1"/>
    <n v="26"/>
    <x v="4"/>
    <s v="*"/>
    <s v="*"/>
    <s v="*"/>
    <x v="1"/>
    <n v="236.34"/>
  </r>
  <r>
    <d v="2023-02-19T00:00:00"/>
    <x v="1"/>
    <x v="0"/>
    <x v="1"/>
    <n v="6"/>
    <x v="2"/>
    <s v="*"/>
    <s v="*"/>
    <s v="*"/>
    <x v="0"/>
    <n v="54.54"/>
  </r>
  <r>
    <d v="2023-02-20T00:00:00"/>
    <x v="1"/>
    <x v="0"/>
    <x v="1"/>
    <n v="3"/>
    <x v="4"/>
    <s v="*"/>
    <s v="*"/>
    <s v="*"/>
    <x v="1"/>
    <n v="27.27"/>
  </r>
  <r>
    <d v="2023-02-21T00:00:00"/>
    <x v="1"/>
    <x v="0"/>
    <x v="1"/>
    <n v="16"/>
    <x v="1"/>
    <s v="*"/>
    <s v="*"/>
    <s v="*"/>
    <x v="1"/>
    <n v="145.44"/>
  </r>
  <r>
    <d v="2023-02-26T00:00:00"/>
    <x v="1"/>
    <x v="0"/>
    <x v="0"/>
    <n v="5"/>
    <x v="1"/>
    <s v="*"/>
    <s v="*"/>
    <s v="*"/>
    <x v="0"/>
    <n v="45.45"/>
  </r>
  <r>
    <d v="2023-02-26T00:00:00"/>
    <x v="1"/>
    <x v="0"/>
    <x v="1"/>
    <n v="26"/>
    <x v="4"/>
    <s v="*"/>
    <s v="*"/>
    <s v="*"/>
    <x v="3"/>
    <n v="236.34"/>
  </r>
  <r>
    <d v="2023-02-25T00:00:00"/>
    <x v="1"/>
    <x v="0"/>
    <x v="0"/>
    <n v="5"/>
    <x v="9"/>
    <s v="*"/>
    <s v="*"/>
    <s v="*"/>
    <x v="1"/>
    <n v="45.45"/>
  </r>
  <r>
    <d v="2023-02-25T00:00:00"/>
    <x v="1"/>
    <x v="0"/>
    <x v="0"/>
    <n v="1"/>
    <x v="3"/>
    <s v="*"/>
    <s v="*"/>
    <s v="*"/>
    <x v="3"/>
    <n v="9.09"/>
  </r>
  <r>
    <d v="2023-02-21T00:00:00"/>
    <x v="1"/>
    <x v="0"/>
    <x v="1"/>
    <n v="10"/>
    <x v="3"/>
    <s v="*"/>
    <s v="*"/>
    <s v="*"/>
    <x v="0"/>
    <n v="90.9"/>
  </r>
  <r>
    <d v="2023-02-23T00:00:00"/>
    <x v="1"/>
    <x v="0"/>
    <x v="1"/>
    <n v="6"/>
    <x v="3"/>
    <s v="*"/>
    <s v="*"/>
    <s v="*"/>
    <x v="3"/>
    <n v="54.54"/>
  </r>
  <r>
    <d v="2023-02-22T00:00:00"/>
    <x v="1"/>
    <x v="0"/>
    <x v="1"/>
    <n v="26"/>
    <x v="4"/>
    <s v="*"/>
    <s v="*"/>
    <s v="*"/>
    <x v="2"/>
    <n v="236.34"/>
  </r>
  <r>
    <d v="2023-02-19T00:00:00"/>
    <x v="1"/>
    <x v="0"/>
    <x v="0"/>
    <n v="5"/>
    <x v="3"/>
    <s v="*"/>
    <s v="*"/>
    <s v="*"/>
    <x v="0"/>
    <n v="45.45"/>
  </r>
  <r>
    <d v="2023-02-22T00:00:00"/>
    <x v="1"/>
    <x v="0"/>
    <x v="1"/>
    <n v="28"/>
    <x v="4"/>
    <s v="*"/>
    <s v="*"/>
    <s v="*"/>
    <x v="5"/>
    <n v="254.51999999999998"/>
  </r>
  <r>
    <d v="2023-02-27T00:00:00"/>
    <x v="1"/>
    <x v="0"/>
    <x v="1"/>
    <n v="28"/>
    <x v="3"/>
    <s v="*"/>
    <s v="*"/>
    <s v="*"/>
    <x v="5"/>
    <n v="254.51999999999998"/>
  </r>
  <r>
    <d v="2023-02-27T00:00:00"/>
    <x v="1"/>
    <x v="0"/>
    <x v="0"/>
    <n v="4"/>
    <x v="7"/>
    <s v="*"/>
    <s v="*"/>
    <s v="*"/>
    <x v="5"/>
    <n v="36.36"/>
  </r>
  <r>
    <d v="2023-02-27T00:00:00"/>
    <x v="1"/>
    <x v="0"/>
    <x v="1"/>
    <n v="28"/>
    <x v="4"/>
    <s v="*"/>
    <s v="*"/>
    <s v="*"/>
    <x v="5"/>
    <n v="254.51999999999998"/>
  </r>
  <r>
    <d v="2023-02-27T00:00:00"/>
    <x v="1"/>
    <x v="0"/>
    <x v="1"/>
    <n v="28"/>
    <x v="4"/>
    <s v="*"/>
    <s v="*"/>
    <s v="*"/>
    <x v="5"/>
    <n v="254.51999999999998"/>
  </r>
  <r>
    <d v="2023-02-27T00:00:00"/>
    <x v="1"/>
    <x v="0"/>
    <x v="1"/>
    <n v="26"/>
    <x v="1"/>
    <s v="*"/>
    <s v="*"/>
    <s v="*"/>
    <x v="3"/>
    <n v="236.34"/>
  </r>
  <r>
    <d v="2023-02-28T00:00:00"/>
    <x v="1"/>
    <x v="0"/>
    <x v="1"/>
    <n v="26"/>
    <x v="4"/>
    <s v="*"/>
    <s v="*"/>
    <s v="*"/>
    <x v="1"/>
    <n v="236.34"/>
  </r>
  <r>
    <d v="2023-02-28T00:00:00"/>
    <x v="1"/>
    <x v="0"/>
    <x v="1"/>
    <n v="26"/>
    <x v="4"/>
    <s v="*"/>
    <s v="*"/>
    <s v="*"/>
    <x v="1"/>
    <n v="236.34"/>
  </r>
  <r>
    <d v="2023-02-28T00:00:00"/>
    <x v="1"/>
    <x v="0"/>
    <x v="1"/>
    <n v="5"/>
    <x v="4"/>
    <s v="*"/>
    <s v="*"/>
    <s v="*"/>
    <x v="5"/>
    <n v="45.45"/>
  </r>
  <r>
    <s v="29/02/2023"/>
    <x v="1"/>
    <x v="0"/>
    <x v="1"/>
    <n v="2"/>
    <x v="4"/>
    <s v="*"/>
    <s v="*"/>
    <s v="*"/>
    <x v="5"/>
    <n v="18.18"/>
  </r>
  <r>
    <d v="2023-02-28T00:00:00"/>
    <x v="1"/>
    <x v="0"/>
    <x v="0"/>
    <n v="4"/>
    <x v="4"/>
    <s v="*"/>
    <s v="*"/>
    <s v="*"/>
    <x v="1"/>
    <n v="36.36"/>
  </r>
  <r>
    <s v="29/02/2023"/>
    <x v="1"/>
    <x v="0"/>
    <x v="0"/>
    <n v="10"/>
    <x v="2"/>
    <s v="*"/>
    <s v="*"/>
    <s v="*"/>
    <x v="5"/>
    <n v="90.9"/>
  </r>
  <r>
    <s v="29/02/2023"/>
    <x v="1"/>
    <x v="0"/>
    <x v="1"/>
    <n v="13"/>
    <x v="4"/>
    <s v="*"/>
    <s v="*"/>
    <s v="*"/>
    <x v="3"/>
    <n v="118.17"/>
  </r>
  <r>
    <s v="29/02/2023"/>
    <x v="1"/>
    <x v="0"/>
    <x v="1"/>
    <n v="4"/>
    <x v="7"/>
    <s v="*"/>
    <s v="*"/>
    <s v="*"/>
    <x v="5"/>
    <n v="36.36"/>
  </r>
  <r>
    <s v="29/02/2023"/>
    <x v="1"/>
    <x v="0"/>
    <x v="1"/>
    <n v="4"/>
    <x v="4"/>
    <s v="*"/>
    <s v="*"/>
    <s v="*"/>
    <x v="3"/>
    <n v="36.36"/>
  </r>
  <r>
    <d v="2023-03-02T00:00:00"/>
    <x v="2"/>
    <x v="0"/>
    <x v="1"/>
    <n v="6"/>
    <x v="4"/>
    <s v="*"/>
    <s v="*"/>
    <s v="*"/>
    <x v="2"/>
    <n v="54.54"/>
  </r>
  <r>
    <d v="2023-03-02T00:00:00"/>
    <x v="2"/>
    <x v="0"/>
    <x v="1"/>
    <n v="18"/>
    <x v="4"/>
    <s v="*"/>
    <s v="*"/>
    <s v="*"/>
    <x v="3"/>
    <n v="163.62"/>
  </r>
  <r>
    <d v="2023-03-02T00:00:00"/>
    <x v="2"/>
    <x v="0"/>
    <x v="0"/>
    <n v="8"/>
    <x v="4"/>
    <s v="*"/>
    <s v="*"/>
    <s v="*"/>
    <x v="4"/>
    <n v="72.72"/>
  </r>
  <r>
    <d v="2023-03-04T00:00:00"/>
    <x v="2"/>
    <x v="0"/>
    <x v="1"/>
    <n v="6"/>
    <x v="4"/>
    <s v="*"/>
    <s v="*"/>
    <s v="*"/>
    <x v="1"/>
    <n v="54.54"/>
  </r>
  <r>
    <d v="2023-03-04T00:00:00"/>
    <x v="2"/>
    <x v="0"/>
    <x v="1"/>
    <n v="26"/>
    <x v="4"/>
    <s v="*"/>
    <s v="*"/>
    <s v="*"/>
    <x v="2"/>
    <n v="236.34"/>
  </r>
  <r>
    <d v="2023-03-04T00:00:00"/>
    <x v="2"/>
    <x v="0"/>
    <x v="1"/>
    <n v="26"/>
    <x v="4"/>
    <s v="*"/>
    <s v="*"/>
    <s v="*"/>
    <x v="3"/>
    <n v="236.34"/>
  </r>
  <r>
    <d v="2023-03-04T00:00:00"/>
    <x v="2"/>
    <x v="0"/>
    <x v="0"/>
    <n v="17"/>
    <x v="4"/>
    <s v="*"/>
    <s v="*"/>
    <s v="*"/>
    <x v="5"/>
    <n v="154.53"/>
  </r>
  <r>
    <d v="2023-03-05T00:00:00"/>
    <x v="2"/>
    <x v="0"/>
    <x v="1"/>
    <n v="26"/>
    <x v="4"/>
    <s v="*"/>
    <s v="*"/>
    <s v="*"/>
    <x v="2"/>
    <n v="236.34"/>
  </r>
  <r>
    <d v="2023-03-04T00:00:00"/>
    <x v="2"/>
    <x v="0"/>
    <x v="0"/>
    <n v="3"/>
    <x v="0"/>
    <s v="*"/>
    <s v="*"/>
    <s v="*"/>
    <x v="5"/>
    <n v="27.27"/>
  </r>
  <r>
    <d v="2023-03-08T00:00:00"/>
    <x v="2"/>
    <x v="0"/>
    <x v="1"/>
    <n v="24"/>
    <x v="1"/>
    <s v="*"/>
    <s v="*"/>
    <s v="*"/>
    <x v="7"/>
    <n v="218.16"/>
  </r>
  <r>
    <d v="2023-03-09T00:00:00"/>
    <x v="2"/>
    <x v="0"/>
    <x v="0"/>
    <n v="6"/>
    <x v="2"/>
    <s v="*"/>
    <s v="*"/>
    <s v="*"/>
    <x v="3"/>
    <n v="54.54"/>
  </r>
  <r>
    <d v="2023-03-11T00:00:00"/>
    <x v="2"/>
    <x v="0"/>
    <x v="1"/>
    <n v="2"/>
    <x v="5"/>
    <s v="*"/>
    <s v="*"/>
    <s v="*"/>
    <x v="2"/>
    <n v="18.18"/>
  </r>
  <r>
    <d v="2023-03-11T00:00:00"/>
    <x v="2"/>
    <x v="0"/>
    <x v="1"/>
    <n v="4"/>
    <x v="4"/>
    <s v="*"/>
    <s v="*"/>
    <s v="*"/>
    <x v="3"/>
    <n v="36.36"/>
  </r>
  <r>
    <d v="2023-03-12T00:00:00"/>
    <x v="2"/>
    <x v="0"/>
    <x v="0"/>
    <n v="4"/>
    <x v="3"/>
    <s v="*"/>
    <s v="*"/>
    <s v="*"/>
    <x v="3"/>
    <n v="36.36"/>
  </r>
  <r>
    <d v="2023-03-13T00:00:00"/>
    <x v="2"/>
    <x v="0"/>
    <x v="1"/>
    <n v="26"/>
    <x v="4"/>
    <s v="*"/>
    <s v="*"/>
    <s v="*"/>
    <x v="1"/>
    <n v="236.34"/>
  </r>
  <r>
    <d v="2023-03-16T00:00:00"/>
    <x v="2"/>
    <x v="0"/>
    <x v="1"/>
    <n v="6"/>
    <x v="4"/>
    <s v="*"/>
    <s v="*"/>
    <s v="*"/>
    <x v="0"/>
    <n v="54.54"/>
  </r>
  <r>
    <d v="2023-03-15T00:00:00"/>
    <x v="2"/>
    <x v="0"/>
    <x v="0"/>
    <n v="4"/>
    <x v="5"/>
    <s v="*"/>
    <s v="*"/>
    <s v="*"/>
    <x v="5"/>
    <n v="36.36"/>
  </r>
  <r>
    <d v="2023-03-16T00:00:00"/>
    <x v="2"/>
    <x v="0"/>
    <x v="1"/>
    <n v="4"/>
    <x v="7"/>
    <s v="*"/>
    <s v="*"/>
    <s v="*"/>
    <x v="6"/>
    <n v="36.36"/>
  </r>
  <r>
    <d v="2023-03-17T00:00:00"/>
    <x v="2"/>
    <x v="0"/>
    <x v="1"/>
    <n v="6"/>
    <x v="4"/>
    <s v="*"/>
    <s v="*"/>
    <s v="*"/>
    <x v="0"/>
    <n v="54.54"/>
  </r>
  <r>
    <d v="2023-03-17T00:00:00"/>
    <x v="2"/>
    <x v="0"/>
    <x v="0"/>
    <n v="3"/>
    <x v="2"/>
    <s v="*"/>
    <s v="*"/>
    <s v="*"/>
    <x v="0"/>
    <n v="27.27"/>
  </r>
  <r>
    <d v="2023-03-18T00:00:00"/>
    <x v="2"/>
    <x v="0"/>
    <x v="1"/>
    <n v="6"/>
    <x v="4"/>
    <s v="*"/>
    <s v="*"/>
    <s v="*"/>
    <x v="3"/>
    <n v="54.54"/>
  </r>
  <r>
    <d v="2023-03-19T00:00:00"/>
    <x v="2"/>
    <x v="0"/>
    <x v="1"/>
    <n v="26"/>
    <x v="4"/>
    <s v="*"/>
    <s v="*"/>
    <s v="*"/>
    <x v="0"/>
    <n v="236.34"/>
  </r>
  <r>
    <d v="2023-03-23T00:00:00"/>
    <x v="2"/>
    <x v="0"/>
    <x v="0"/>
    <n v="12"/>
    <x v="5"/>
    <s v="*"/>
    <s v="*"/>
    <s v="*"/>
    <x v="6"/>
    <n v="109.08"/>
  </r>
  <r>
    <d v="2023-03-23T00:00:00"/>
    <x v="2"/>
    <x v="0"/>
    <x v="1"/>
    <n v="26"/>
    <x v="4"/>
    <s v="*"/>
    <s v="*"/>
    <s v="*"/>
    <x v="6"/>
    <n v="236.34"/>
  </r>
  <r>
    <d v="2023-03-24T00:00:00"/>
    <x v="2"/>
    <x v="0"/>
    <x v="1"/>
    <n v="26"/>
    <x v="4"/>
    <s v="*"/>
    <s v="*"/>
    <s v="*"/>
    <x v="2"/>
    <n v="236.34"/>
  </r>
  <r>
    <d v="2023-03-26T00:00:00"/>
    <x v="2"/>
    <x v="0"/>
    <x v="0"/>
    <n v="4"/>
    <x v="4"/>
    <s v="*"/>
    <s v="*"/>
    <s v="*"/>
    <x v="3"/>
    <n v="36.36"/>
  </r>
  <r>
    <d v="2023-03-29T00:00:00"/>
    <x v="2"/>
    <x v="0"/>
    <x v="0"/>
    <n v="6"/>
    <x v="0"/>
    <s v="*"/>
    <s v="*"/>
    <s v="*"/>
    <x v="2"/>
    <n v="54.54"/>
  </r>
  <r>
    <d v="2023-03-31T00:00:00"/>
    <x v="2"/>
    <x v="0"/>
    <x v="1"/>
    <n v="26"/>
    <x v="4"/>
    <s v="*"/>
    <s v="*"/>
    <s v="*"/>
    <x v="5"/>
    <n v="236.34"/>
  </r>
  <r>
    <d v="2023-04-01T00:00:00"/>
    <x v="3"/>
    <x v="0"/>
    <x v="1"/>
    <n v="6"/>
    <x v="4"/>
    <s v="*"/>
    <s v="*"/>
    <s v="*"/>
    <x v="3"/>
    <n v="54.54"/>
  </r>
  <r>
    <d v="2023-04-02T00:00:00"/>
    <x v="3"/>
    <x v="0"/>
    <x v="0"/>
    <n v="2"/>
    <x v="4"/>
    <s v="*"/>
    <s v="*"/>
    <s v="*"/>
    <x v="3"/>
    <n v="18.18"/>
  </r>
  <r>
    <d v="2023-04-03T00:00:00"/>
    <x v="3"/>
    <x v="0"/>
    <x v="1"/>
    <n v="14"/>
    <x v="4"/>
    <s v="*"/>
    <s v="*"/>
    <s v="*"/>
    <x v="0"/>
    <n v="127.25999999999999"/>
  </r>
  <r>
    <d v="2023-04-06T00:00:00"/>
    <x v="3"/>
    <x v="0"/>
    <x v="1"/>
    <n v="5"/>
    <x v="4"/>
    <s v="*"/>
    <s v="*"/>
    <s v="*"/>
    <x v="3"/>
    <n v="45.45"/>
  </r>
  <r>
    <d v="2023-04-06T00:00:00"/>
    <x v="3"/>
    <x v="0"/>
    <x v="1"/>
    <n v="7"/>
    <x v="4"/>
    <s v="*"/>
    <s v="*"/>
    <s v="*"/>
    <x v="3"/>
    <n v="63.629999999999995"/>
  </r>
  <r>
    <d v="2023-04-07T00:00:00"/>
    <x v="3"/>
    <x v="0"/>
    <x v="1"/>
    <n v="26"/>
    <x v="4"/>
    <s v="*"/>
    <s v="*"/>
    <s v="*"/>
    <x v="5"/>
    <n v="236.34"/>
  </r>
  <r>
    <d v="2023-04-08T00:00:00"/>
    <x v="3"/>
    <x v="0"/>
    <x v="1"/>
    <n v="26"/>
    <x v="4"/>
    <s v="*"/>
    <s v="*"/>
    <s v="*"/>
    <x v="0"/>
    <n v="236.34"/>
  </r>
  <r>
    <d v="2023-04-14T00:00:00"/>
    <x v="3"/>
    <x v="0"/>
    <x v="1"/>
    <n v="6"/>
    <x v="0"/>
    <s v="*"/>
    <s v="*"/>
    <s v="*"/>
    <x v="1"/>
    <n v="54.54"/>
  </r>
  <r>
    <d v="2023-04-14T00:00:00"/>
    <x v="3"/>
    <x v="0"/>
    <x v="1"/>
    <n v="6"/>
    <x v="0"/>
    <s v="*"/>
    <s v="*"/>
    <s v="*"/>
    <x v="2"/>
    <n v="54.54"/>
  </r>
  <r>
    <d v="2023-04-14T00:00:00"/>
    <x v="3"/>
    <x v="0"/>
    <x v="1"/>
    <n v="10"/>
    <x v="7"/>
    <s v="*"/>
    <s v="*"/>
    <s v="*"/>
    <x v="3"/>
    <n v="90.9"/>
  </r>
  <r>
    <d v="2023-04-15T00:00:00"/>
    <x v="3"/>
    <x v="0"/>
    <x v="1"/>
    <n v="2"/>
    <x v="7"/>
    <s v="*"/>
    <s v="*"/>
    <s v="*"/>
    <x v="0"/>
    <n v="18.18"/>
  </r>
  <r>
    <d v="2023-04-21T00:00:00"/>
    <x v="3"/>
    <x v="0"/>
    <x v="0"/>
    <n v="6"/>
    <x v="2"/>
    <s v="*"/>
    <s v="*"/>
    <s v="*"/>
    <x v="0"/>
    <n v="54.54"/>
  </r>
  <r>
    <d v="2023-04-21T00:00:00"/>
    <x v="3"/>
    <x v="0"/>
    <x v="0"/>
    <n v="5"/>
    <x v="4"/>
    <s v="*"/>
    <s v="*"/>
    <s v="*"/>
    <x v="3"/>
    <n v="45.45"/>
  </r>
  <r>
    <d v="2023-04-22T00:00:00"/>
    <x v="3"/>
    <x v="0"/>
    <x v="0"/>
    <n v="2"/>
    <x v="7"/>
    <s v="*"/>
    <s v="*"/>
    <s v="*"/>
    <x v="6"/>
    <n v="18.18"/>
  </r>
  <r>
    <d v="2023-04-22T00:00:00"/>
    <x v="3"/>
    <x v="0"/>
    <x v="0"/>
    <n v="26"/>
    <x v="4"/>
    <s v="*"/>
    <s v="*"/>
    <s v="*"/>
    <x v="0"/>
    <n v="236.34"/>
  </r>
  <r>
    <d v="2023-04-25T00:00:00"/>
    <x v="3"/>
    <x v="0"/>
    <x v="0"/>
    <n v="2"/>
    <x v="3"/>
    <s v="*"/>
    <s v="*"/>
    <s v="*"/>
    <x v="1"/>
    <n v="18.18"/>
  </r>
  <r>
    <d v="2023-04-29T00:00:00"/>
    <x v="3"/>
    <x v="0"/>
    <x v="1"/>
    <n v="2"/>
    <x v="7"/>
    <s v="*"/>
    <s v="*"/>
    <s v="*"/>
    <x v="3"/>
    <n v="18.18"/>
  </r>
  <r>
    <d v="2023-04-30T00:00:00"/>
    <x v="3"/>
    <x v="0"/>
    <x v="0"/>
    <n v="5"/>
    <x v="7"/>
    <s v="*"/>
    <s v="*"/>
    <s v="*"/>
    <x v="0"/>
    <n v="45.45"/>
  </r>
  <r>
    <d v="2023-04-30T00:00:00"/>
    <x v="3"/>
    <x v="0"/>
    <x v="0"/>
    <n v="3"/>
    <x v="4"/>
    <s v="*"/>
    <s v="*"/>
    <s v="*"/>
    <x v="6"/>
    <n v="27.27"/>
  </r>
  <r>
    <d v="2023-05-04T00:00:00"/>
    <x v="4"/>
    <x v="0"/>
    <x v="1"/>
    <n v="26"/>
    <x v="4"/>
    <s v="*"/>
    <s v="*"/>
    <s v="*"/>
    <x v="2"/>
    <n v="236.34"/>
  </r>
  <r>
    <d v="2023-05-04T00:00:00"/>
    <x v="4"/>
    <x v="0"/>
    <x v="0"/>
    <n v="28"/>
    <x v="0"/>
    <s v="*"/>
    <s v="*"/>
    <s v="*"/>
    <x v="5"/>
    <n v="254.51999999999998"/>
  </r>
  <r>
    <d v="2023-05-04T00:00:00"/>
    <x v="4"/>
    <x v="0"/>
    <x v="1"/>
    <n v="11"/>
    <x v="4"/>
    <s v="*"/>
    <s v="*"/>
    <s v="*"/>
    <x v="6"/>
    <n v="99.99"/>
  </r>
  <r>
    <d v="2023-05-05T00:00:00"/>
    <x v="4"/>
    <x v="0"/>
    <x v="1"/>
    <n v="3"/>
    <x v="2"/>
    <s v="*"/>
    <s v="*"/>
    <s v="*"/>
    <x v="3"/>
    <n v="27.27"/>
  </r>
  <r>
    <d v="2023-05-06T00:00:00"/>
    <x v="4"/>
    <x v="0"/>
    <x v="1"/>
    <n v="6"/>
    <x v="7"/>
    <s v="*"/>
    <s v="*"/>
    <s v="*"/>
    <x v="1"/>
    <n v="54.54"/>
  </r>
  <r>
    <d v="2023-05-08T00:00:00"/>
    <x v="4"/>
    <x v="0"/>
    <x v="1"/>
    <n v="3"/>
    <x v="9"/>
    <s v="*"/>
    <s v="*"/>
    <s v="*"/>
    <x v="3"/>
    <n v="27.27"/>
  </r>
  <r>
    <d v="2023-05-11T00:00:00"/>
    <x v="4"/>
    <x v="0"/>
    <x v="1"/>
    <n v="7"/>
    <x v="7"/>
    <s v="*"/>
    <s v="*"/>
    <s v="*"/>
    <x v="5"/>
    <n v="63.629999999999995"/>
  </r>
  <r>
    <d v="2023-05-11T00:00:00"/>
    <x v="4"/>
    <x v="0"/>
    <x v="1"/>
    <n v="3"/>
    <x v="1"/>
    <s v="*"/>
    <s v="*"/>
    <s v="*"/>
    <x v="6"/>
    <n v="27.27"/>
  </r>
  <r>
    <d v="2023-05-18T00:00:00"/>
    <x v="4"/>
    <x v="0"/>
    <x v="1"/>
    <n v="4"/>
    <x v="0"/>
    <s v="*"/>
    <s v="*"/>
    <s v="*"/>
    <x v="6"/>
    <n v="36.36"/>
  </r>
  <r>
    <d v="2023-05-18T00:00:00"/>
    <x v="4"/>
    <x v="0"/>
    <x v="1"/>
    <n v="3"/>
    <x v="7"/>
    <s v="*"/>
    <s v="*"/>
    <s v="*"/>
    <x v="6"/>
    <n v="27.27"/>
  </r>
  <r>
    <d v="2023-05-18T00:00:00"/>
    <x v="4"/>
    <x v="0"/>
    <x v="1"/>
    <n v="3"/>
    <x v="7"/>
    <s v="*"/>
    <s v="*"/>
    <s v="*"/>
    <x v="6"/>
    <n v="27.27"/>
  </r>
  <r>
    <d v="2023-05-18T00:00:00"/>
    <x v="4"/>
    <x v="0"/>
    <x v="0"/>
    <n v="1"/>
    <x v="7"/>
    <s v="*"/>
    <s v="*"/>
    <s v="*"/>
    <x v="6"/>
    <n v="9.09"/>
  </r>
  <r>
    <d v="2023-05-18T00:00:00"/>
    <x v="4"/>
    <x v="0"/>
    <x v="0"/>
    <n v="2"/>
    <x v="4"/>
    <s v="*"/>
    <s v="*"/>
    <s v="*"/>
    <x v="0"/>
    <n v="18.18"/>
  </r>
  <r>
    <d v="2023-05-22T00:00:00"/>
    <x v="4"/>
    <x v="0"/>
    <x v="1"/>
    <n v="3"/>
    <x v="2"/>
    <s v="*"/>
    <s v="*"/>
    <s v="*"/>
    <x v="1"/>
    <n v="27.27"/>
  </r>
  <r>
    <d v="2023-05-25T00:00:00"/>
    <x v="4"/>
    <x v="0"/>
    <x v="1"/>
    <n v="10"/>
    <x v="4"/>
    <s v="*"/>
    <s v="*"/>
    <s v="*"/>
    <x v="5"/>
    <n v="90.9"/>
  </r>
  <r>
    <d v="2023-05-30T00:00:00"/>
    <x v="4"/>
    <x v="0"/>
    <x v="1"/>
    <n v="6"/>
    <x v="4"/>
    <s v="*"/>
    <s v="*"/>
    <s v="*"/>
    <x v="1"/>
    <n v="54.54"/>
  </r>
  <r>
    <d v="2023-05-30T00:00:00"/>
    <x v="4"/>
    <x v="0"/>
    <x v="1"/>
    <n v="6"/>
    <x v="4"/>
    <s v="*"/>
    <s v="*"/>
    <s v="*"/>
    <x v="0"/>
    <n v="54.54"/>
  </r>
  <r>
    <d v="2023-06-15T00:00:00"/>
    <x v="5"/>
    <x v="0"/>
    <x v="0"/>
    <n v="9"/>
    <x v="3"/>
    <s v="*"/>
    <s v="*"/>
    <s v="*"/>
    <x v="0"/>
    <n v="81.81"/>
  </r>
  <r>
    <d v="2023-06-19T00:00:00"/>
    <x v="5"/>
    <x v="0"/>
    <x v="1"/>
    <n v="14"/>
    <x v="1"/>
    <s v="*"/>
    <s v="*"/>
    <s v="*"/>
    <x v="1"/>
    <n v="127.25999999999999"/>
  </r>
  <r>
    <d v="2023-06-22T00:00:00"/>
    <x v="5"/>
    <x v="0"/>
    <x v="0"/>
    <n v="2"/>
    <x v="2"/>
    <s v="*"/>
    <s v="*"/>
    <s v="*"/>
    <x v="3"/>
    <n v="18.18"/>
  </r>
  <r>
    <d v="2023-06-22T00:00:00"/>
    <x v="5"/>
    <x v="0"/>
    <x v="1"/>
    <n v="26"/>
    <x v="4"/>
    <s v="*"/>
    <s v="*"/>
    <s v="*"/>
    <x v="3"/>
    <n v="236.34"/>
  </r>
  <r>
    <d v="2023-06-22T00:00:00"/>
    <x v="5"/>
    <x v="0"/>
    <x v="1"/>
    <n v="26"/>
    <x v="0"/>
    <s v="*"/>
    <s v="*"/>
    <s v="*"/>
    <x v="3"/>
    <n v="236.34"/>
  </r>
  <r>
    <d v="2023-06-22T00:00:00"/>
    <x v="5"/>
    <x v="0"/>
    <x v="1"/>
    <n v="26"/>
    <x v="3"/>
    <s v="*"/>
    <s v="*"/>
    <s v="*"/>
    <x v="3"/>
    <n v="236.34"/>
  </r>
  <r>
    <d v="2023-07-04T00:00:00"/>
    <x v="6"/>
    <x v="0"/>
    <x v="1"/>
    <n v="26"/>
    <x v="4"/>
    <s v="*"/>
    <s v="*"/>
    <s v="*"/>
    <x v="3"/>
    <n v="236.34"/>
  </r>
  <r>
    <d v="2023-07-09T00:00:00"/>
    <x v="6"/>
    <x v="0"/>
    <x v="1"/>
    <n v="26"/>
    <x v="4"/>
    <s v="*"/>
    <s v="*"/>
    <s v="*"/>
    <x v="0"/>
    <n v="236.34"/>
  </r>
  <r>
    <d v="2023-07-10T00:00:00"/>
    <x v="6"/>
    <x v="0"/>
    <x v="1"/>
    <n v="5"/>
    <x v="4"/>
    <s v="*"/>
    <s v="*"/>
    <s v="*"/>
    <x v="1"/>
    <n v="45.45"/>
  </r>
  <r>
    <d v="2023-07-11T00:00:00"/>
    <x v="6"/>
    <x v="0"/>
    <x v="1"/>
    <n v="5"/>
    <x v="4"/>
    <s v="*"/>
    <s v="*"/>
    <s v="*"/>
    <x v="1"/>
    <n v="45.45"/>
  </r>
  <r>
    <d v="2023-07-13T00:00:00"/>
    <x v="6"/>
    <x v="0"/>
    <x v="1"/>
    <n v="5"/>
    <x v="3"/>
    <s v="*"/>
    <s v="*"/>
    <s v="*"/>
    <x v="3"/>
    <n v="45.45"/>
  </r>
  <r>
    <d v="2023-07-15T00:00:00"/>
    <x v="6"/>
    <x v="0"/>
    <x v="1"/>
    <n v="28"/>
    <x v="4"/>
    <s v="*"/>
    <s v="*"/>
    <s v="*"/>
    <x v="0"/>
    <n v="254.51999999999998"/>
  </r>
  <r>
    <d v="2023-07-20T00:00:00"/>
    <x v="6"/>
    <x v="0"/>
    <x v="1"/>
    <n v="3"/>
    <x v="0"/>
    <s v="*"/>
    <s v="*"/>
    <s v="*"/>
    <x v="3"/>
    <n v="27.27"/>
  </r>
  <r>
    <d v="2023-07-20T00:00:00"/>
    <x v="6"/>
    <x v="0"/>
    <x v="1"/>
    <n v="12"/>
    <x v="7"/>
    <s v="*"/>
    <s v="*"/>
    <s v="*"/>
    <x v="1"/>
    <n v="109.08"/>
  </r>
  <r>
    <d v="2023-07-27T00:00:00"/>
    <x v="6"/>
    <x v="0"/>
    <x v="1"/>
    <n v="26"/>
    <x v="4"/>
    <s v="*"/>
    <s v="*"/>
    <s v="*"/>
    <x v="0"/>
    <n v="236.34"/>
  </r>
  <r>
    <d v="2023-07-27T00:00:00"/>
    <x v="6"/>
    <x v="0"/>
    <x v="1"/>
    <n v="26"/>
    <x v="4"/>
    <s v="*"/>
    <s v="*"/>
    <s v="*"/>
    <x v="0"/>
    <n v="236.34"/>
  </r>
  <r>
    <d v="2023-07-28T00:00:00"/>
    <x v="6"/>
    <x v="0"/>
    <x v="1"/>
    <n v="7"/>
    <x v="7"/>
    <s v="*"/>
    <s v="*"/>
    <s v="*"/>
    <x v="1"/>
    <n v="63.629999999999995"/>
  </r>
  <r>
    <d v="2023-07-29T00:00:00"/>
    <x v="6"/>
    <x v="0"/>
    <x v="1"/>
    <n v="26"/>
    <x v="4"/>
    <s v="*"/>
    <s v="*"/>
    <s v="*"/>
    <x v="0"/>
    <n v="236.34"/>
  </r>
  <r>
    <d v="2023-08-03T00:00:00"/>
    <x v="7"/>
    <x v="0"/>
    <x v="1"/>
    <n v="10"/>
    <x v="0"/>
    <s v="*"/>
    <s v="*"/>
    <s v="*"/>
    <x v="5"/>
    <n v="90.9"/>
  </r>
  <r>
    <d v="2023-08-05T00:00:00"/>
    <x v="7"/>
    <x v="0"/>
    <x v="1"/>
    <n v="26"/>
    <x v="0"/>
    <s v="*"/>
    <s v="*"/>
    <s v="*"/>
    <x v="0"/>
    <n v="236.34"/>
  </r>
  <r>
    <d v="2023-08-05T00:00:00"/>
    <x v="7"/>
    <x v="0"/>
    <x v="1"/>
    <n v="26"/>
    <x v="4"/>
    <s v="*"/>
    <s v="*"/>
    <s v="*"/>
    <x v="2"/>
    <n v="236.34"/>
  </r>
  <r>
    <d v="2023-08-10T00:00:00"/>
    <x v="7"/>
    <x v="0"/>
    <x v="1"/>
    <n v="6"/>
    <x v="4"/>
    <s v="*"/>
    <s v="*"/>
    <s v="*"/>
    <x v="2"/>
    <n v="54.54"/>
  </r>
  <r>
    <d v="2023-08-12T00:00:00"/>
    <x v="7"/>
    <x v="0"/>
    <x v="1"/>
    <n v="7"/>
    <x v="4"/>
    <s v="*"/>
    <s v="*"/>
    <s v="*"/>
    <x v="3"/>
    <n v="63.629999999999995"/>
  </r>
  <r>
    <d v="2023-08-13T00:00:00"/>
    <x v="7"/>
    <x v="0"/>
    <x v="1"/>
    <n v="26"/>
    <x v="0"/>
    <s v="*"/>
    <s v="*"/>
    <s v="*"/>
    <x v="0"/>
    <n v="236.34"/>
  </r>
  <r>
    <d v="2023-08-14T00:00:00"/>
    <x v="7"/>
    <x v="0"/>
    <x v="0"/>
    <n v="7"/>
    <x v="2"/>
    <s v="*"/>
    <s v="*"/>
    <s v="*"/>
    <x v="5"/>
    <n v="63.629999999999995"/>
  </r>
  <r>
    <d v="2023-08-17T00:00:00"/>
    <x v="7"/>
    <x v="0"/>
    <x v="0"/>
    <n v="3"/>
    <x v="7"/>
    <s v="*"/>
    <s v="*"/>
    <s v="*"/>
    <x v="3"/>
    <n v="27.27"/>
  </r>
  <r>
    <d v="2023-08-18T00:00:00"/>
    <x v="7"/>
    <x v="0"/>
    <x v="1"/>
    <n v="27"/>
    <x v="4"/>
    <s v="*"/>
    <s v="*"/>
    <s v="*"/>
    <x v="3"/>
    <n v="245.43"/>
  </r>
  <r>
    <d v="2023-08-17T00:00:00"/>
    <x v="7"/>
    <x v="0"/>
    <x v="1"/>
    <n v="2"/>
    <x v="0"/>
    <s v="*"/>
    <s v="*"/>
    <s v="*"/>
    <x v="6"/>
    <n v="18.18"/>
  </r>
  <r>
    <d v="2023-08-17T00:00:00"/>
    <x v="7"/>
    <x v="0"/>
    <x v="0"/>
    <n v="5"/>
    <x v="4"/>
    <s v="*"/>
    <s v="*"/>
    <s v="*"/>
    <x v="5"/>
    <n v="45.45"/>
  </r>
  <r>
    <d v="2023-08-18T00:00:00"/>
    <x v="7"/>
    <x v="0"/>
    <x v="1"/>
    <n v="4"/>
    <x v="0"/>
    <s v="*"/>
    <s v="*"/>
    <s v="*"/>
    <x v="0"/>
    <n v="36.36"/>
  </r>
  <r>
    <d v="2023-08-21T00:00:00"/>
    <x v="7"/>
    <x v="0"/>
    <x v="1"/>
    <n v="24"/>
    <x v="9"/>
    <s v="*"/>
    <s v="*"/>
    <s v="*"/>
    <x v="0"/>
    <n v="218.16"/>
  </r>
  <r>
    <d v="2023-08-27T00:00:00"/>
    <x v="7"/>
    <x v="0"/>
    <x v="0"/>
    <n v="6"/>
    <x v="2"/>
    <s v="*"/>
    <s v="*"/>
    <s v="*"/>
    <x v="1"/>
    <n v="54.54"/>
  </r>
  <r>
    <d v="2023-09-01T00:00:00"/>
    <x v="8"/>
    <x v="0"/>
    <x v="0"/>
    <n v="6"/>
    <x v="2"/>
    <s v="*"/>
    <s v="*"/>
    <s v="*"/>
    <x v="6"/>
    <n v="54.54"/>
  </r>
  <r>
    <d v="2023-09-02T00:00:00"/>
    <x v="8"/>
    <x v="0"/>
    <x v="1"/>
    <n v="11"/>
    <x v="4"/>
    <s v="*"/>
    <s v="*"/>
    <s v="*"/>
    <x v="0"/>
    <n v="99.99"/>
  </r>
  <r>
    <d v="2023-09-03T00:00:00"/>
    <x v="8"/>
    <x v="0"/>
    <x v="1"/>
    <n v="26"/>
    <x v="4"/>
    <s v="*"/>
    <s v="*"/>
    <s v="*"/>
    <x v="5"/>
    <n v="236.34"/>
  </r>
  <r>
    <d v="2023-09-18T00:00:00"/>
    <x v="8"/>
    <x v="0"/>
    <x v="1"/>
    <n v="10"/>
    <x v="4"/>
    <s v="*"/>
    <s v="*"/>
    <s v="*"/>
    <x v="0"/>
    <n v="90.9"/>
  </r>
  <r>
    <d v="2023-09-21T00:00:00"/>
    <x v="8"/>
    <x v="0"/>
    <x v="1"/>
    <n v="7"/>
    <x v="2"/>
    <s v="*"/>
    <s v="*"/>
    <s v="*"/>
    <x v="5"/>
    <n v="63.629999999999995"/>
  </r>
  <r>
    <d v="2023-09-21T00:00:00"/>
    <x v="8"/>
    <x v="0"/>
    <x v="1"/>
    <n v="13"/>
    <x v="4"/>
    <s v="*"/>
    <s v="*"/>
    <s v="*"/>
    <x v="0"/>
    <n v="118.17"/>
  </r>
  <r>
    <d v="2023-09-21T00:00:00"/>
    <x v="8"/>
    <x v="0"/>
    <x v="0"/>
    <n v="4"/>
    <x v="0"/>
    <s v="*"/>
    <s v="*"/>
    <s v="*"/>
    <x v="0"/>
    <n v="36.36"/>
  </r>
  <r>
    <d v="2023-09-21T00:00:00"/>
    <x v="8"/>
    <x v="0"/>
    <x v="0"/>
    <n v="4"/>
    <x v="2"/>
    <s v="*"/>
    <s v="*"/>
    <s v="*"/>
    <x v="0"/>
    <n v="36.36"/>
  </r>
  <r>
    <d v="2023-09-22T00:00:00"/>
    <x v="8"/>
    <x v="0"/>
    <x v="0"/>
    <n v="4"/>
    <x v="5"/>
    <s v="*"/>
    <s v="*"/>
    <s v="*"/>
    <x v="2"/>
    <n v="36.36"/>
  </r>
  <r>
    <d v="2023-09-22T00:00:00"/>
    <x v="8"/>
    <x v="0"/>
    <x v="0"/>
    <n v="4"/>
    <x v="2"/>
    <s v="*"/>
    <s v="*"/>
    <s v="*"/>
    <x v="2"/>
    <n v="36.36"/>
  </r>
  <r>
    <d v="2023-09-23T00:00:00"/>
    <x v="8"/>
    <x v="0"/>
    <x v="0"/>
    <n v="4"/>
    <x v="2"/>
    <s v="*"/>
    <s v="*"/>
    <s v="*"/>
    <x v="3"/>
    <n v="36.36"/>
  </r>
  <r>
    <d v="2023-09-23T00:00:00"/>
    <x v="8"/>
    <x v="0"/>
    <x v="1"/>
    <n v="6"/>
    <x v="4"/>
    <s v="*"/>
    <s v="*"/>
    <s v="*"/>
    <x v="0"/>
    <n v="54.54"/>
  </r>
  <r>
    <d v="2023-09-28T00:00:00"/>
    <x v="8"/>
    <x v="0"/>
    <x v="1"/>
    <n v="10"/>
    <x v="4"/>
    <s v="*"/>
    <s v="*"/>
    <s v="*"/>
    <x v="0"/>
    <n v="90.9"/>
  </r>
  <r>
    <d v="2023-10-08T00:00:00"/>
    <x v="9"/>
    <x v="0"/>
    <x v="1"/>
    <n v="6"/>
    <x v="2"/>
    <s v="*"/>
    <s v="*"/>
    <s v="*"/>
    <x v="0"/>
    <n v="54.54"/>
  </r>
  <r>
    <d v="2023-10-13T00:00:00"/>
    <x v="9"/>
    <x v="0"/>
    <x v="0"/>
    <n v="4"/>
    <x v="7"/>
    <s v="*"/>
    <s v="*"/>
    <s v="*"/>
    <x v="3"/>
    <n v="36.36"/>
  </r>
  <r>
    <d v="2023-10-14T00:00:00"/>
    <x v="9"/>
    <x v="0"/>
    <x v="0"/>
    <n v="7"/>
    <x v="4"/>
    <s v="*"/>
    <s v="*"/>
    <s v="*"/>
    <x v="1"/>
    <n v="63.629999999999995"/>
  </r>
  <r>
    <d v="2023-10-14T00:00:00"/>
    <x v="9"/>
    <x v="0"/>
    <x v="1"/>
    <n v="10"/>
    <x v="0"/>
    <s v="*"/>
    <s v="*"/>
    <s v="*"/>
    <x v="1"/>
    <n v="90.9"/>
  </r>
  <r>
    <d v="2023-10-19T00:00:00"/>
    <x v="9"/>
    <x v="0"/>
    <x v="1"/>
    <n v="4"/>
    <x v="2"/>
    <s v="*"/>
    <s v="*"/>
    <s v="*"/>
    <x v="3"/>
    <n v="36.36"/>
  </r>
  <r>
    <d v="2023-10-26T00:00:00"/>
    <x v="9"/>
    <x v="0"/>
    <x v="1"/>
    <n v="28"/>
    <x v="1"/>
    <s v="*"/>
    <s v="*"/>
    <s v="*"/>
    <x v="3"/>
    <n v="254.51999999999998"/>
  </r>
  <r>
    <d v="2023-10-26T00:00:00"/>
    <x v="9"/>
    <x v="0"/>
    <x v="1"/>
    <n v="26"/>
    <x v="0"/>
    <s v="*"/>
    <s v="*"/>
    <s v="*"/>
    <x v="3"/>
    <n v="236.34"/>
  </r>
  <r>
    <d v="2023-10-27T00:00:00"/>
    <x v="9"/>
    <x v="0"/>
    <x v="0"/>
    <n v="8"/>
    <x v="2"/>
    <s v="*"/>
    <s v="*"/>
    <s v="*"/>
    <x v="6"/>
    <n v="72.72"/>
  </r>
  <r>
    <d v="2023-10-27T00:00:00"/>
    <x v="9"/>
    <x v="0"/>
    <x v="0"/>
    <n v="4"/>
    <x v="5"/>
    <s v="*"/>
    <s v="*"/>
    <s v="*"/>
    <x v="3"/>
    <n v="36.36"/>
  </r>
  <r>
    <d v="2023-10-29T00:00:00"/>
    <x v="9"/>
    <x v="0"/>
    <x v="1"/>
    <n v="3"/>
    <x v="0"/>
    <s v="*"/>
    <s v="*"/>
    <s v="*"/>
    <x v="1"/>
    <n v="27.27"/>
  </r>
  <r>
    <d v="2023-10-29T00:00:00"/>
    <x v="9"/>
    <x v="0"/>
    <x v="0"/>
    <n v="3"/>
    <x v="4"/>
    <s v="*"/>
    <s v="*"/>
    <s v="*"/>
    <x v="1"/>
    <n v="27.27"/>
  </r>
  <r>
    <d v="2023-10-30T00:00:00"/>
    <x v="9"/>
    <x v="0"/>
    <x v="1"/>
    <n v="8"/>
    <x v="4"/>
    <s v="*"/>
    <s v="*"/>
    <s v="*"/>
    <x v="1"/>
    <n v="72.72"/>
  </r>
  <r>
    <d v="2023-10-31T00:00:00"/>
    <x v="9"/>
    <x v="0"/>
    <x v="0"/>
    <n v="5"/>
    <x v="0"/>
    <s v="*"/>
    <s v="*"/>
    <s v="*"/>
    <x v="0"/>
    <n v="45.45"/>
  </r>
  <r>
    <d v="2023-11-04T00:00:00"/>
    <x v="10"/>
    <x v="0"/>
    <x v="0"/>
    <n v="6"/>
    <x v="2"/>
    <s v="*"/>
    <s v="*"/>
    <s v="*"/>
    <x v="0"/>
    <n v="54.54"/>
  </r>
  <r>
    <d v="2023-11-09T00:00:00"/>
    <x v="10"/>
    <x v="0"/>
    <x v="1"/>
    <n v="8"/>
    <x v="0"/>
    <s v="*"/>
    <s v="*"/>
    <s v="*"/>
    <x v="1"/>
    <n v="72.72"/>
  </r>
  <r>
    <d v="2023-11-09T00:00:00"/>
    <x v="10"/>
    <x v="0"/>
    <x v="1"/>
    <n v="10"/>
    <x v="1"/>
    <s v="*"/>
    <s v="*"/>
    <s v="*"/>
    <x v="0"/>
    <n v="90.9"/>
  </r>
  <r>
    <d v="2023-11-10T00:00:00"/>
    <x v="10"/>
    <x v="0"/>
    <x v="1"/>
    <n v="7"/>
    <x v="1"/>
    <s v="*"/>
    <s v="*"/>
    <s v="*"/>
    <x v="0"/>
    <n v="63.629999999999995"/>
  </r>
  <r>
    <d v="2023-11-10T00:00:00"/>
    <x v="10"/>
    <x v="0"/>
    <x v="0"/>
    <n v="4"/>
    <x v="2"/>
    <s v="*"/>
    <s v="*"/>
    <s v="*"/>
    <x v="8"/>
    <n v="36.36"/>
  </r>
  <r>
    <d v="2023-11-11T00:00:00"/>
    <x v="10"/>
    <x v="0"/>
    <x v="0"/>
    <n v="5"/>
    <x v="2"/>
    <s v="*"/>
    <s v="*"/>
    <s v="*"/>
    <x v="5"/>
    <n v="45.45"/>
  </r>
  <r>
    <d v="2023-11-16T00:00:00"/>
    <x v="10"/>
    <x v="0"/>
    <x v="0"/>
    <n v="6"/>
    <x v="1"/>
    <s v="*"/>
    <s v="*"/>
    <s v="*"/>
    <x v="5"/>
    <n v="54.54"/>
  </r>
  <r>
    <d v="2023-11-17T00:00:00"/>
    <x v="10"/>
    <x v="0"/>
    <x v="0"/>
    <n v="4"/>
    <x v="5"/>
    <s v="*"/>
    <s v="*"/>
    <s v="*"/>
    <x v="5"/>
    <n v="36.36"/>
  </r>
  <r>
    <d v="2023-11-17T00:00:00"/>
    <x v="10"/>
    <x v="0"/>
    <x v="0"/>
    <n v="4"/>
    <x v="5"/>
    <s v="*"/>
    <s v="*"/>
    <s v="*"/>
    <x v="5"/>
    <n v="36.36"/>
  </r>
  <r>
    <d v="2023-11-17T00:00:00"/>
    <x v="10"/>
    <x v="0"/>
    <x v="1"/>
    <n v="26"/>
    <x v="5"/>
    <s v="*"/>
    <s v="*"/>
    <s v="*"/>
    <x v="8"/>
    <n v="236.34"/>
  </r>
  <r>
    <d v="2023-11-17T00:00:00"/>
    <x v="10"/>
    <x v="0"/>
    <x v="1"/>
    <n v="6"/>
    <x v="7"/>
    <s v="*"/>
    <s v="*"/>
    <s v="*"/>
    <x v="1"/>
    <n v="54.54"/>
  </r>
  <r>
    <d v="2023-11-19T00:00:00"/>
    <x v="10"/>
    <x v="0"/>
    <x v="1"/>
    <n v="10"/>
    <x v="1"/>
    <s v="*"/>
    <s v="*"/>
    <s v="*"/>
    <x v="5"/>
    <n v="90.9"/>
  </r>
  <r>
    <d v="2023-11-24T00:00:00"/>
    <x v="10"/>
    <x v="0"/>
    <x v="0"/>
    <n v="5"/>
    <x v="2"/>
    <s v="*"/>
    <s v="*"/>
    <s v="*"/>
    <x v="6"/>
    <n v="45.45"/>
  </r>
  <r>
    <d v="2023-11-25T00:00:00"/>
    <x v="10"/>
    <x v="0"/>
    <x v="0"/>
    <n v="6"/>
    <x v="9"/>
    <s v="*"/>
    <s v="*"/>
    <s v="*"/>
    <x v="5"/>
    <n v="54.54"/>
  </r>
  <r>
    <d v="2023-11-25T00:00:00"/>
    <x v="10"/>
    <x v="0"/>
    <x v="1"/>
    <n v="10"/>
    <x v="0"/>
    <s v="*"/>
    <s v="*"/>
    <s v="*"/>
    <x v="6"/>
    <n v="90.9"/>
  </r>
  <r>
    <d v="2023-11-26T00:00:00"/>
    <x v="10"/>
    <x v="0"/>
    <x v="0"/>
    <n v="8"/>
    <x v="0"/>
    <s v="*"/>
    <s v="*"/>
    <s v="*"/>
    <x v="5"/>
    <n v="72.72"/>
  </r>
  <r>
    <d v="2023-11-30T00:00:00"/>
    <x v="10"/>
    <x v="0"/>
    <x v="1"/>
    <n v="26"/>
    <x v="1"/>
    <s v="*"/>
    <s v="*"/>
    <s v="*"/>
    <x v="5"/>
    <n v="236.34"/>
  </r>
  <r>
    <d v="2023-12-01T00:00:00"/>
    <x v="11"/>
    <x v="0"/>
    <x v="1"/>
    <n v="10"/>
    <x v="1"/>
    <s v="*"/>
    <s v="*"/>
    <s v="*"/>
    <x v="0"/>
    <n v="90.9"/>
  </r>
  <r>
    <d v="2023-12-03T00:00:00"/>
    <x v="11"/>
    <x v="0"/>
    <x v="0"/>
    <n v="8"/>
    <x v="1"/>
    <s v="*"/>
    <s v="*"/>
    <s v="*"/>
    <x v="5"/>
    <n v="72.72"/>
  </r>
  <r>
    <d v="2023-12-04T00:00:00"/>
    <x v="11"/>
    <x v="0"/>
    <x v="1"/>
    <n v="26"/>
    <x v="4"/>
    <s v="*"/>
    <s v="*"/>
    <s v="*"/>
    <x v="1"/>
    <n v="236.34"/>
  </r>
  <r>
    <d v="2023-12-07T00:00:00"/>
    <x v="11"/>
    <x v="0"/>
    <x v="0"/>
    <n v="6"/>
    <x v="3"/>
    <s v="*"/>
    <s v="*"/>
    <s v="*"/>
    <x v="3"/>
    <n v="54.54"/>
  </r>
  <r>
    <d v="2023-12-08T00:00:00"/>
    <x v="11"/>
    <x v="0"/>
    <x v="1"/>
    <n v="10"/>
    <x v="4"/>
    <s v="*"/>
    <s v="*"/>
    <s v="*"/>
    <x v="6"/>
    <n v="90.9"/>
  </r>
  <r>
    <d v="2023-12-08T00:00:00"/>
    <x v="11"/>
    <x v="0"/>
    <x v="0"/>
    <n v="20"/>
    <x v="9"/>
    <s v="*"/>
    <s v="*"/>
    <s v="*"/>
    <x v="5"/>
    <n v="181.8"/>
  </r>
  <r>
    <d v="2023-12-21T00:00:00"/>
    <x v="11"/>
    <x v="0"/>
    <x v="0"/>
    <n v="26"/>
    <x v="3"/>
    <s v="*"/>
    <s v="*"/>
    <s v="*"/>
    <x v="5"/>
    <n v="236.34"/>
  </r>
  <r>
    <d v="2023-12-22T00:00:00"/>
    <x v="11"/>
    <x v="0"/>
    <x v="0"/>
    <n v="4"/>
    <x v="4"/>
    <s v="*"/>
    <s v="*"/>
    <s v="*"/>
    <x v="3"/>
    <n v="36.36"/>
  </r>
  <r>
    <d v="2023-12-26T00:00:00"/>
    <x v="11"/>
    <x v="0"/>
    <x v="0"/>
    <n v="8"/>
    <x v="2"/>
    <s v="*"/>
    <s v="*"/>
    <s v="*"/>
    <x v="8"/>
    <n v="72.72"/>
  </r>
  <r>
    <d v="2023-12-26T00:00:00"/>
    <x v="11"/>
    <x v="0"/>
    <x v="0"/>
    <n v="4"/>
    <x v="7"/>
    <s v="*"/>
    <s v="*"/>
    <s v="*"/>
    <x v="8"/>
    <n v="36.36"/>
  </r>
  <r>
    <d v="2023-12-28T00:00:00"/>
    <x v="11"/>
    <x v="0"/>
    <x v="0"/>
    <n v="3"/>
    <x v="5"/>
    <s v="*"/>
    <s v="*"/>
    <s v="*"/>
    <x v="0"/>
    <n v="27.27"/>
  </r>
  <r>
    <d v="2023-12-28T00:00:00"/>
    <x v="11"/>
    <x v="0"/>
    <x v="0"/>
    <n v="5"/>
    <x v="1"/>
    <s v="*"/>
    <s v="*"/>
    <s v="*"/>
    <x v="8"/>
    <n v="45.45"/>
  </r>
  <r>
    <d v="2024-01-02T00:00:00"/>
    <x v="0"/>
    <x v="1"/>
    <x v="1"/>
    <n v="8"/>
    <x v="0"/>
    <s v="*"/>
    <s v="*"/>
    <s v="*"/>
    <x v="3"/>
    <n v="72.72"/>
  </r>
  <r>
    <d v="2024-01-02T00:00:00"/>
    <x v="0"/>
    <x v="1"/>
    <x v="0"/>
    <n v="6"/>
    <x v="2"/>
    <s v="*"/>
    <s v="*"/>
    <s v="*"/>
    <x v="3"/>
    <n v="54.54"/>
  </r>
  <r>
    <d v="2024-01-02T00:00:00"/>
    <x v="0"/>
    <x v="1"/>
    <x v="0"/>
    <n v="2"/>
    <x v="5"/>
    <s v="*"/>
    <s v="*"/>
    <s v="*"/>
    <x v="3"/>
    <n v="18.18"/>
  </r>
  <r>
    <d v="2024-01-11T00:00:00"/>
    <x v="0"/>
    <x v="1"/>
    <x v="1"/>
    <n v="26"/>
    <x v="0"/>
    <s v="*"/>
    <s v="*"/>
    <s v="*"/>
    <x v="0"/>
    <n v="236.34"/>
  </r>
  <r>
    <d v="2024-01-11T00:00:00"/>
    <x v="0"/>
    <x v="1"/>
    <x v="1"/>
    <n v="26"/>
    <x v="7"/>
    <s v="*"/>
    <s v="*"/>
    <s v="*"/>
    <x v="0"/>
    <n v="236.34"/>
  </r>
  <r>
    <d v="2024-01-13T00:00:00"/>
    <x v="0"/>
    <x v="1"/>
    <x v="0"/>
    <n v="2"/>
    <x v="2"/>
    <s v="*"/>
    <s v="*"/>
    <s v="*"/>
    <x v="6"/>
    <n v="18.18"/>
  </r>
  <r>
    <d v="2024-01-13T00:00:00"/>
    <x v="0"/>
    <x v="1"/>
    <x v="1"/>
    <n v="7"/>
    <x v="2"/>
    <s v="*"/>
    <s v="*"/>
    <s v="*"/>
    <x v="6"/>
    <n v="63.629999999999995"/>
  </r>
  <r>
    <d v="2024-01-14T00:00:00"/>
    <x v="0"/>
    <x v="1"/>
    <x v="1"/>
    <n v="7"/>
    <x v="2"/>
    <s v="*"/>
    <s v="*"/>
    <s v="*"/>
    <x v="3"/>
    <n v="63.629999999999995"/>
  </r>
  <r>
    <d v="2024-01-18T00:00:00"/>
    <x v="0"/>
    <x v="1"/>
    <x v="1"/>
    <n v="14"/>
    <x v="7"/>
    <s v="*"/>
    <s v="*"/>
    <s v="*"/>
    <x v="4"/>
    <n v="127.25999999999999"/>
  </r>
  <r>
    <d v="2024-01-18T00:00:00"/>
    <x v="0"/>
    <x v="1"/>
    <x v="0"/>
    <n v="3"/>
    <x v="0"/>
    <s v="*"/>
    <s v="*"/>
    <s v="*"/>
    <x v="5"/>
    <n v="27.27"/>
  </r>
  <r>
    <d v="2024-01-25T00:00:00"/>
    <x v="0"/>
    <x v="1"/>
    <x v="1"/>
    <n v="13"/>
    <x v="4"/>
    <s v="*"/>
    <s v="*"/>
    <s v="*"/>
    <x v="6"/>
    <n v="118.17"/>
  </r>
  <r>
    <d v="2024-01-25T00:00:00"/>
    <x v="0"/>
    <x v="1"/>
    <x v="0"/>
    <n v="10"/>
    <x v="2"/>
    <s v="*"/>
    <s v="*"/>
    <s v="*"/>
    <x v="3"/>
    <n v="90.9"/>
  </r>
  <r>
    <d v="2024-01-25T00:00:00"/>
    <x v="0"/>
    <x v="1"/>
    <x v="1"/>
    <n v="26"/>
    <x v="7"/>
    <s v="*"/>
    <s v="*"/>
    <s v="*"/>
    <x v="5"/>
    <n v="236.34"/>
  </r>
  <r>
    <d v="2024-02-02T00:00:00"/>
    <x v="1"/>
    <x v="1"/>
    <x v="0"/>
    <n v="5"/>
    <x v="7"/>
    <s v="*"/>
    <s v="*"/>
    <s v="*"/>
    <x v="8"/>
    <n v="45.45"/>
  </r>
  <r>
    <d v="2024-02-08T00:00:00"/>
    <x v="1"/>
    <x v="1"/>
    <x v="1"/>
    <n v="5"/>
    <x v="7"/>
    <s v="*"/>
    <s v="*"/>
    <s v="*"/>
    <x v="3"/>
    <n v="45.45"/>
  </r>
  <r>
    <d v="2024-02-09T00:00:00"/>
    <x v="1"/>
    <x v="1"/>
    <x v="1"/>
    <n v="6"/>
    <x v="7"/>
    <s v="*"/>
    <s v="*"/>
    <s v="*"/>
    <x v="0"/>
    <n v="54.54"/>
  </r>
  <r>
    <d v="2024-02-10T00:00:00"/>
    <x v="1"/>
    <x v="1"/>
    <x v="1"/>
    <n v="28"/>
    <x v="7"/>
    <s v="*"/>
    <s v="*"/>
    <s v="*"/>
    <x v="1"/>
    <n v="254.51999999999998"/>
  </r>
  <r>
    <d v="2024-02-15T00:00:00"/>
    <x v="1"/>
    <x v="1"/>
    <x v="1"/>
    <n v="5"/>
    <x v="1"/>
    <s v="*"/>
    <s v="*"/>
    <s v="*"/>
    <x v="0"/>
    <n v="45.45"/>
  </r>
  <r>
    <d v="2024-02-15T00:00:00"/>
    <x v="1"/>
    <x v="1"/>
    <x v="0"/>
    <n v="1"/>
    <x v="7"/>
    <s v="*"/>
    <s v="*"/>
    <s v="*"/>
    <x v="0"/>
    <n v="9.09"/>
  </r>
  <r>
    <d v="2024-02-18T00:00:00"/>
    <x v="1"/>
    <x v="1"/>
    <x v="1"/>
    <n v="28"/>
    <x v="2"/>
    <s v="*"/>
    <s v="*"/>
    <s v="*"/>
    <x v="3"/>
    <n v="254.51999999999998"/>
  </r>
  <r>
    <d v="2024-02-22T00:00:00"/>
    <x v="1"/>
    <x v="1"/>
    <x v="0"/>
    <n v="4"/>
    <x v="7"/>
    <s v="*"/>
    <s v="*"/>
    <s v="*"/>
    <x v="3"/>
    <n v="36.36"/>
  </r>
  <r>
    <d v="2024-02-22T00:00:00"/>
    <x v="1"/>
    <x v="1"/>
    <x v="1"/>
    <n v="26"/>
    <x v="4"/>
    <s v="*"/>
    <s v="*"/>
    <s v="*"/>
    <x v="8"/>
    <n v="236.34"/>
  </r>
  <r>
    <d v="2024-02-25T00:00:00"/>
    <x v="1"/>
    <x v="1"/>
    <x v="0"/>
    <n v="7"/>
    <x v="2"/>
    <s v="*"/>
    <s v="*"/>
    <s v="*"/>
    <x v="3"/>
    <n v="63.629999999999995"/>
  </r>
  <r>
    <d v="2024-02-26T00:00:00"/>
    <x v="1"/>
    <x v="1"/>
    <x v="0"/>
    <n v="4"/>
    <x v="1"/>
    <s v="*"/>
    <s v="*"/>
    <s v="*"/>
    <x v="3"/>
    <n v="36.36"/>
  </r>
  <r>
    <d v="2024-03-01T00:00:00"/>
    <x v="2"/>
    <x v="1"/>
    <x v="1"/>
    <n v="10"/>
    <x v="2"/>
    <s v="*"/>
    <s v="*"/>
    <s v="*"/>
    <x v="3"/>
    <n v="138.6"/>
  </r>
  <r>
    <d v="2024-03-06T00:00:00"/>
    <x v="2"/>
    <x v="1"/>
    <x v="1"/>
    <n v="26"/>
    <x v="2"/>
    <s v="*"/>
    <s v="*"/>
    <s v="*"/>
    <x v="1"/>
    <n v="360.36"/>
  </r>
  <r>
    <d v="2024-03-06T00:00:00"/>
    <x v="2"/>
    <x v="1"/>
    <x v="0"/>
    <n v="8"/>
    <x v="0"/>
    <s v="*"/>
    <s v="*"/>
    <s v="*"/>
    <x v="1"/>
    <n v="110.88"/>
  </r>
  <r>
    <d v="2024-03-08T00:00:00"/>
    <x v="2"/>
    <x v="1"/>
    <x v="1"/>
    <n v="20"/>
    <x v="4"/>
    <s v="*"/>
    <s v="*"/>
    <s v="*"/>
    <x v="0"/>
    <n v="277.2"/>
  </r>
  <r>
    <d v="2024-03-10T00:00:00"/>
    <x v="2"/>
    <x v="1"/>
    <x v="0"/>
    <n v="11"/>
    <x v="2"/>
    <s v="*"/>
    <s v="*"/>
    <s v="*"/>
    <x v="6"/>
    <n v="152.45999999999998"/>
  </r>
  <r>
    <d v="2024-03-10T00:00:00"/>
    <x v="2"/>
    <x v="1"/>
    <x v="1"/>
    <n v="26"/>
    <x v="4"/>
    <s v="*"/>
    <s v="*"/>
    <s v="*"/>
    <x v="0"/>
    <n v="360.36"/>
  </r>
  <r>
    <d v="2024-03-13T00:00:00"/>
    <x v="2"/>
    <x v="1"/>
    <x v="1"/>
    <n v="26"/>
    <x v="4"/>
    <s v="*"/>
    <s v="*"/>
    <s v="*"/>
    <x v="5"/>
    <n v="360.36"/>
  </r>
  <r>
    <d v="2024-03-15T00:00:00"/>
    <x v="2"/>
    <x v="1"/>
    <x v="0"/>
    <n v="2"/>
    <x v="4"/>
    <s v="*"/>
    <s v="*"/>
    <s v="*"/>
    <x v="6"/>
    <n v="27.72"/>
  </r>
  <r>
    <d v="2024-03-22T00:00:00"/>
    <x v="2"/>
    <x v="1"/>
    <x v="1"/>
    <n v="4"/>
    <x v="1"/>
    <s v="*"/>
    <s v="*"/>
    <s v="*"/>
    <x v="6"/>
    <n v="55.44"/>
  </r>
  <r>
    <d v="2024-03-27T00:00:00"/>
    <x v="2"/>
    <x v="1"/>
    <x v="0"/>
    <n v="10"/>
    <x v="9"/>
    <s v="*"/>
    <s v="*"/>
    <s v="*"/>
    <x v="8"/>
    <n v="138.6"/>
  </r>
  <r>
    <d v="2024-03-27T00:00:00"/>
    <x v="2"/>
    <x v="1"/>
    <x v="1"/>
    <n v="26"/>
    <x v="4"/>
    <s v="*"/>
    <s v="*"/>
    <s v="*"/>
    <x v="2"/>
    <n v="360.36"/>
  </r>
  <r>
    <d v="2024-03-29T00:00:00"/>
    <x v="2"/>
    <x v="1"/>
    <x v="0"/>
    <n v="5"/>
    <x v="0"/>
    <s v="*"/>
    <s v="*"/>
    <s v="*"/>
    <x v="4"/>
    <n v="69.3"/>
  </r>
  <r>
    <d v="2024-03-29T00:00:00"/>
    <x v="2"/>
    <x v="1"/>
    <x v="1"/>
    <n v="26"/>
    <x v="4"/>
    <s v="*"/>
    <s v="*"/>
    <s v="*"/>
    <x v="0"/>
    <n v="360.36"/>
  </r>
  <r>
    <d v="2024-03-29T00:00:00"/>
    <x v="2"/>
    <x v="1"/>
    <x v="1"/>
    <n v="26"/>
    <x v="0"/>
    <s v="*"/>
    <s v="*"/>
    <s v="*"/>
    <x v="5"/>
    <n v="360.36"/>
  </r>
  <r>
    <d v="2024-03-30T00:00:00"/>
    <x v="2"/>
    <x v="1"/>
    <x v="0"/>
    <n v="2"/>
    <x v="2"/>
    <s v="*"/>
    <s v="*"/>
    <s v="*"/>
    <x v="6"/>
    <n v="27.72"/>
  </r>
  <r>
    <d v="2024-03-30T00:00:00"/>
    <x v="2"/>
    <x v="1"/>
    <x v="1"/>
    <n v="8"/>
    <x v="1"/>
    <s v="*"/>
    <s v="*"/>
    <s v="*"/>
    <x v="6"/>
    <n v="110.88"/>
  </r>
  <r>
    <d v="2024-03-30T00:00:00"/>
    <x v="2"/>
    <x v="1"/>
    <x v="1"/>
    <n v="3"/>
    <x v="2"/>
    <s v="*"/>
    <s v="*"/>
    <s v="*"/>
    <x v="6"/>
    <n v="41.58"/>
  </r>
  <r>
    <d v="2024-03-31T00:00:00"/>
    <x v="2"/>
    <x v="1"/>
    <x v="1"/>
    <n v="26"/>
    <x v="4"/>
    <s v="*"/>
    <s v="*"/>
    <s v="*"/>
    <x v="0"/>
    <n v="360.36"/>
  </r>
  <r>
    <d v="2024-03-31T00:00:00"/>
    <x v="2"/>
    <x v="1"/>
    <x v="0"/>
    <n v="5"/>
    <x v="4"/>
    <s v="*"/>
    <s v="*"/>
    <s v="*"/>
    <x v="0"/>
    <n v="69.3"/>
  </r>
  <r>
    <d v="2024-03-31T00:00:00"/>
    <x v="2"/>
    <x v="1"/>
    <x v="0"/>
    <n v="16"/>
    <x v="1"/>
    <s v="*"/>
    <s v="*"/>
    <s v="*"/>
    <x v="0"/>
    <n v="221.76"/>
  </r>
  <r>
    <d v="2024-04-05T00:00:00"/>
    <x v="3"/>
    <x v="1"/>
    <x v="0"/>
    <n v="5"/>
    <x v="2"/>
    <s v="*"/>
    <s v="*"/>
    <s v="*"/>
    <x v="5"/>
    <n v="69.3"/>
  </r>
  <r>
    <d v="2024-04-05T00:00:00"/>
    <x v="3"/>
    <x v="1"/>
    <x v="1"/>
    <n v="8"/>
    <x v="1"/>
    <s v="*"/>
    <s v="*"/>
    <s v="*"/>
    <x v="5"/>
    <n v="110.88"/>
  </r>
  <r>
    <d v="2024-04-07T00:00:00"/>
    <x v="3"/>
    <x v="1"/>
    <x v="1"/>
    <n v="26"/>
    <x v="4"/>
    <s v="*"/>
    <s v="*"/>
    <s v="*"/>
    <x v="3"/>
    <n v="360.36"/>
  </r>
  <r>
    <d v="2024-04-12T00:00:00"/>
    <x v="3"/>
    <x v="1"/>
    <x v="1"/>
    <n v="2"/>
    <x v="2"/>
    <s v="*"/>
    <s v="*"/>
    <s v="*"/>
    <x v="5"/>
    <n v="27.72"/>
  </r>
  <r>
    <d v="2024-04-16T00:00:00"/>
    <x v="3"/>
    <x v="1"/>
    <x v="0"/>
    <n v="4"/>
    <x v="3"/>
    <s v="*"/>
    <s v="*"/>
    <s v="*"/>
    <x v="8"/>
    <n v="55.44"/>
  </r>
  <r>
    <d v="2024-04-26T00:00:00"/>
    <x v="3"/>
    <x v="1"/>
    <x v="1"/>
    <n v="13"/>
    <x v="4"/>
    <s v="*"/>
    <s v="*"/>
    <s v="*"/>
    <x v="3"/>
    <n v="180.18"/>
  </r>
  <r>
    <d v="2024-04-26T00:00:00"/>
    <x v="3"/>
    <x v="1"/>
    <x v="1"/>
    <n v="5"/>
    <x v="2"/>
    <s v="*"/>
    <s v="*"/>
    <s v="*"/>
    <x v="6"/>
    <n v="69.3"/>
  </r>
  <r>
    <d v="2024-04-26T00:00:00"/>
    <x v="3"/>
    <x v="1"/>
    <x v="1"/>
    <n v="4"/>
    <x v="4"/>
    <s v="*"/>
    <s v="*"/>
    <s v="*"/>
    <x v="3"/>
    <n v="55.44"/>
  </r>
  <r>
    <d v="2024-04-28T00:00:00"/>
    <x v="3"/>
    <x v="1"/>
    <x v="0"/>
    <n v="26"/>
    <x v="12"/>
    <s v="*"/>
    <s v="*"/>
    <s v="*"/>
    <x v="5"/>
    <n v="360.36"/>
  </r>
  <r>
    <d v="2024-04-28T00:00:00"/>
    <x v="3"/>
    <x v="1"/>
    <x v="0"/>
    <n v="3"/>
    <x v="5"/>
    <s v="*"/>
    <s v="*"/>
    <s v="*"/>
    <x v="5"/>
    <n v="41.58"/>
  </r>
  <r>
    <d v="2024-04-28T00:00:00"/>
    <x v="3"/>
    <x v="1"/>
    <x v="0"/>
    <n v="26"/>
    <x v="13"/>
    <s v="*"/>
    <s v="*"/>
    <s v="*"/>
    <x v="0"/>
    <n v="360.36"/>
  </r>
  <r>
    <d v="2024-04-29T00:00:00"/>
    <x v="3"/>
    <x v="1"/>
    <x v="0"/>
    <n v="26"/>
    <x v="12"/>
    <s v="*"/>
    <s v="*"/>
    <s v="*"/>
    <x v="6"/>
    <n v="360.36"/>
  </r>
  <r>
    <d v="2024-04-30T00:00:00"/>
    <x v="3"/>
    <x v="1"/>
    <x v="0"/>
    <n v="26"/>
    <x v="1"/>
    <s v="*"/>
    <s v="*"/>
    <s v="*"/>
    <x v="8"/>
    <n v="360.36"/>
  </r>
  <r>
    <d v="2024-03-05T00:00:00"/>
    <x v="4"/>
    <x v="1"/>
    <x v="0"/>
    <n v="26"/>
    <x v="1"/>
    <s v="*"/>
    <s v="*"/>
    <s v="*"/>
    <x v="1"/>
    <n v="360.36"/>
  </r>
  <r>
    <d v="2024-04-05T00:00:00"/>
    <x v="4"/>
    <x v="1"/>
    <x v="0"/>
    <n v="26"/>
    <x v="13"/>
    <s v="*"/>
    <s v="*"/>
    <s v="*"/>
    <x v="3"/>
    <n v="360.36"/>
  </r>
  <r>
    <d v="2024-05-05T00:00:00"/>
    <x v="4"/>
    <x v="1"/>
    <x v="0"/>
    <n v="26"/>
    <x v="14"/>
    <s v="*"/>
    <s v="*"/>
    <s v="*"/>
    <x v="5"/>
    <n v="360.36"/>
  </r>
  <r>
    <d v="2024-05-05T00:00:00"/>
    <x v="4"/>
    <x v="1"/>
    <x v="0"/>
    <n v="26"/>
    <x v="15"/>
    <s v="*"/>
    <s v="*"/>
    <s v="*"/>
    <x v="1"/>
    <n v="360.36"/>
  </r>
  <r>
    <d v="2024-05-05T00:00:00"/>
    <x v="4"/>
    <x v="1"/>
    <x v="0"/>
    <n v="26"/>
    <x v="16"/>
    <s v="*"/>
    <s v="*"/>
    <s v="*"/>
    <x v="1"/>
    <n v="360.36"/>
  </r>
  <r>
    <d v="2024-07-05T00:00:00"/>
    <x v="4"/>
    <x v="1"/>
    <x v="0"/>
    <n v="6"/>
    <x v="2"/>
    <s v="*"/>
    <s v="*"/>
    <s v="*"/>
    <x v="8"/>
    <n v="83.16"/>
  </r>
  <r>
    <d v="2024-08-05T00:00:00"/>
    <x v="4"/>
    <x v="1"/>
    <x v="0"/>
    <n v="24"/>
    <x v="16"/>
    <s v="*"/>
    <s v="*"/>
    <s v="*"/>
    <x v="5"/>
    <n v="332.64"/>
  </r>
  <r>
    <d v="2024-08-05T00:00:00"/>
    <x v="4"/>
    <x v="1"/>
    <x v="0"/>
    <n v="26"/>
    <x v="1"/>
    <s v="*"/>
    <s v="*"/>
    <s v="*"/>
    <x v="1"/>
    <n v="360.36"/>
  </r>
  <r>
    <d v="2024-08-05T00:00:00"/>
    <x v="4"/>
    <x v="1"/>
    <x v="0"/>
    <n v="26"/>
    <x v="1"/>
    <s v="*"/>
    <s v="*"/>
    <s v="*"/>
    <x v="1"/>
    <n v="360.36"/>
  </r>
  <r>
    <d v="2024-08-05T00:00:00"/>
    <x v="4"/>
    <x v="1"/>
    <x v="0"/>
    <n v="2"/>
    <x v="1"/>
    <s v="*"/>
    <s v="*"/>
    <s v="*"/>
    <x v="5"/>
    <n v="27.72"/>
  </r>
  <r>
    <d v="2024-10-05T00:00:00"/>
    <x v="4"/>
    <x v="1"/>
    <x v="1"/>
    <n v="26"/>
    <x v="4"/>
    <s v="*"/>
    <s v="*"/>
    <s v="*"/>
    <x v="5"/>
    <n v="360.36"/>
  </r>
  <r>
    <d v="2024-10-05T00:00:00"/>
    <x v="4"/>
    <x v="1"/>
    <x v="1"/>
    <n v="4"/>
    <x v="4"/>
    <s v="*"/>
    <s v="*"/>
    <s v="*"/>
    <x v="5"/>
    <n v="55.44"/>
  </r>
  <r>
    <d v="2024-10-05T00:00:00"/>
    <x v="4"/>
    <x v="1"/>
    <x v="0"/>
    <n v="24"/>
    <x v="13"/>
    <s v="*"/>
    <s v="*"/>
    <s v="*"/>
    <x v="5"/>
    <n v="332.64"/>
  </r>
  <r>
    <d v="2024-11-05T00:00:00"/>
    <x v="4"/>
    <x v="1"/>
    <x v="1"/>
    <n v="2"/>
    <x v="5"/>
    <s v="*"/>
    <s v="*"/>
    <s v="*"/>
    <x v="6"/>
    <n v="27.72"/>
  </r>
  <r>
    <d v="2024-05-13T00:00:00"/>
    <x v="4"/>
    <x v="1"/>
    <x v="1"/>
    <n v="26"/>
    <x v="12"/>
    <s v="*"/>
    <s v="*"/>
    <s v="*"/>
    <x v="0"/>
    <n v="360.36"/>
  </r>
  <r>
    <d v="2024-05-14T00:00:00"/>
    <x v="4"/>
    <x v="1"/>
    <x v="0"/>
    <n v="2"/>
    <x v="3"/>
    <s v="*"/>
    <s v="*"/>
    <s v="*"/>
    <x v="5"/>
    <n v="27.72"/>
  </r>
  <r>
    <d v="2024-05-14T00:00:00"/>
    <x v="4"/>
    <x v="1"/>
    <x v="0"/>
    <n v="5"/>
    <x v="2"/>
    <s v="*"/>
    <s v="*"/>
    <s v="*"/>
    <x v="3"/>
    <n v="69.3"/>
  </r>
  <r>
    <d v="2024-05-15T00:00:00"/>
    <x v="4"/>
    <x v="1"/>
    <x v="1"/>
    <n v="26"/>
    <x v="12"/>
    <s v="*"/>
    <s v="*"/>
    <s v="*"/>
    <x v="8"/>
    <n v="360.36"/>
  </r>
  <r>
    <d v="2024-05-20T00:00:00"/>
    <x v="4"/>
    <x v="1"/>
    <x v="0"/>
    <n v="2"/>
    <x v="17"/>
    <s v="*"/>
    <s v="*"/>
    <s v="*"/>
    <x v="8"/>
    <n v="27.72"/>
  </r>
  <r>
    <d v="2024-05-24T00:00:00"/>
    <x v="4"/>
    <x v="1"/>
    <x v="0"/>
    <n v="2"/>
    <x v="4"/>
    <s v="*"/>
    <s v="*"/>
    <s v="*"/>
    <x v="8"/>
    <n v="27.72"/>
  </r>
  <r>
    <d v="2024-05-25T00:00:00"/>
    <x v="4"/>
    <x v="1"/>
    <x v="0"/>
    <n v="15"/>
    <x v="4"/>
    <s v="*"/>
    <s v="*"/>
    <s v="*"/>
    <x v="8"/>
    <n v="207.89999999999998"/>
  </r>
  <r>
    <d v="2024-05-25T00:00:00"/>
    <x v="4"/>
    <x v="1"/>
    <x v="0"/>
    <n v="10"/>
    <x v="4"/>
    <s v="*"/>
    <s v="*"/>
    <s v="*"/>
    <x v="8"/>
    <n v="138.6"/>
  </r>
  <r>
    <d v="2024-05-26T00:00:00"/>
    <x v="4"/>
    <x v="1"/>
    <x v="1"/>
    <n v="26"/>
    <x v="2"/>
    <s v="*"/>
    <s v="*"/>
    <s v="*"/>
    <x v="1"/>
    <n v="360.36"/>
  </r>
  <r>
    <d v="2024-05-27T00:00:00"/>
    <x v="4"/>
    <x v="1"/>
    <x v="0"/>
    <n v="24"/>
    <x v="14"/>
    <s v="*"/>
    <s v="*"/>
    <s v="*"/>
    <x v="5"/>
    <n v="332.64"/>
  </r>
  <r>
    <d v="2024-05-27T00:00:00"/>
    <x v="4"/>
    <x v="1"/>
    <x v="1"/>
    <n v="26"/>
    <x v="1"/>
    <s v="*"/>
    <s v="*"/>
    <s v="*"/>
    <x v="3"/>
    <n v="360.36"/>
  </r>
  <r>
    <d v="2024-05-29T00:00:00"/>
    <x v="4"/>
    <x v="1"/>
    <x v="0"/>
    <n v="26"/>
    <x v="16"/>
    <s v="*"/>
    <s v="*"/>
    <s v="*"/>
    <x v="6"/>
    <n v="360.36"/>
  </r>
  <r>
    <d v="2024-05-29T00:00:00"/>
    <x v="4"/>
    <x v="1"/>
    <x v="1"/>
    <n v="4"/>
    <x v="2"/>
    <s v="*"/>
    <s v="*"/>
    <s v="*"/>
    <x v="8"/>
    <n v="55.44"/>
  </r>
  <r>
    <d v="2024-05-29T00:00:00"/>
    <x v="4"/>
    <x v="1"/>
    <x v="0"/>
    <n v="28"/>
    <x v="18"/>
    <s v="*"/>
    <s v="*"/>
    <s v="*"/>
    <x v="0"/>
    <n v="388.08"/>
  </r>
  <r>
    <d v="2024-05-29T00:00:00"/>
    <x v="4"/>
    <x v="1"/>
    <x v="1"/>
    <n v="22"/>
    <x v="1"/>
    <s v="*"/>
    <s v="*"/>
    <s v="*"/>
    <x v="8"/>
    <n v="304.91999999999996"/>
  </r>
  <r>
    <d v="2024-05-29T00:00:00"/>
    <x v="4"/>
    <x v="1"/>
    <x v="0"/>
    <n v="26"/>
    <x v="16"/>
    <s v="*"/>
    <s v="*"/>
    <s v="*"/>
    <x v="8"/>
    <n v="360.36"/>
  </r>
  <r>
    <d v="2024-05-31T00:00:00"/>
    <x v="4"/>
    <x v="1"/>
    <x v="1"/>
    <n v="4"/>
    <x v="3"/>
    <s v="*"/>
    <s v="*"/>
    <s v="*"/>
    <x v="5"/>
    <n v="55.44"/>
  </r>
  <r>
    <d v="2024-05-31T00:00:00"/>
    <x v="4"/>
    <x v="1"/>
    <x v="0"/>
    <n v="26"/>
    <x v="14"/>
    <s v="*"/>
    <s v="*"/>
    <s v="*"/>
    <x v="5"/>
    <n v="360.36"/>
  </r>
  <r>
    <d v="2024-05-31T00:00:00"/>
    <x v="4"/>
    <x v="1"/>
    <x v="0"/>
    <n v="7"/>
    <x v="2"/>
    <s v="*"/>
    <s v="*"/>
    <s v="*"/>
    <x v="5"/>
    <n v="97.02"/>
  </r>
  <r>
    <d v="2024-05-31T00:00:00"/>
    <x v="4"/>
    <x v="1"/>
    <x v="0"/>
    <n v="5"/>
    <x v="1"/>
    <s v="*"/>
    <s v="*"/>
    <s v="*"/>
    <x v="5"/>
    <n v="69.3"/>
  </r>
  <r>
    <d v="2024-05-31T00:00:00"/>
    <x v="4"/>
    <x v="1"/>
    <x v="0"/>
    <n v="3"/>
    <x v="2"/>
    <s v="*"/>
    <s v="*"/>
    <s v="*"/>
    <x v="5"/>
    <n v="41.58"/>
  </r>
  <r>
    <d v="2024-05-31T00:00:00"/>
    <x v="4"/>
    <x v="1"/>
    <x v="0"/>
    <n v="4"/>
    <x v="2"/>
    <s v="*"/>
    <s v="*"/>
    <s v="*"/>
    <x v="5"/>
    <n v="55.44"/>
  </r>
  <r>
    <d v="2024-01-06T00:00:00"/>
    <x v="5"/>
    <x v="1"/>
    <x v="0"/>
    <n v="16"/>
    <x v="12"/>
    <s v="*"/>
    <s v="*"/>
    <s v="*"/>
    <x v="8"/>
    <n v="221.76"/>
  </r>
  <r>
    <d v="2024-02-06T00:00:00"/>
    <x v="5"/>
    <x v="1"/>
    <x v="0"/>
    <n v="26"/>
    <x v="18"/>
    <s v="*"/>
    <s v="*"/>
    <s v="*"/>
    <x v="8"/>
    <n v="360.36"/>
  </r>
  <r>
    <d v="2024-02-06T00:00:00"/>
    <x v="5"/>
    <x v="1"/>
    <x v="0"/>
    <n v="4"/>
    <x v="5"/>
    <s v="*"/>
    <s v="*"/>
    <s v="*"/>
    <x v="5"/>
    <n v="55.44"/>
  </r>
  <r>
    <d v="2024-02-06T00:00:00"/>
    <x v="5"/>
    <x v="1"/>
    <x v="0"/>
    <n v="26"/>
    <x v="16"/>
    <s v="*"/>
    <s v="*"/>
    <s v="*"/>
    <x v="0"/>
    <n v="360.36"/>
  </r>
  <r>
    <d v="2024-04-06T00:00:00"/>
    <x v="5"/>
    <x v="1"/>
    <x v="0"/>
    <n v="26"/>
    <x v="16"/>
    <s v="*"/>
    <s v="*"/>
    <s v="*"/>
    <x v="3"/>
    <n v="360.36"/>
  </r>
  <r>
    <d v="2024-05-06T00:00:00"/>
    <x v="5"/>
    <x v="1"/>
    <x v="0"/>
    <n v="26"/>
    <x v="19"/>
    <s v="*"/>
    <s v="*"/>
    <s v="*"/>
    <x v="0"/>
    <n v="360.36"/>
  </r>
  <r>
    <d v="2024-07-06T00:00:00"/>
    <x v="5"/>
    <x v="1"/>
    <x v="0"/>
    <n v="26"/>
    <x v="16"/>
    <s v="*"/>
    <s v="*"/>
    <s v="*"/>
    <x v="3"/>
    <n v="360.36"/>
  </r>
  <r>
    <d v="2024-08-06T00:00:00"/>
    <x v="5"/>
    <x v="1"/>
    <x v="0"/>
    <n v="26"/>
    <x v="16"/>
    <s v="*"/>
    <s v="*"/>
    <s v="*"/>
    <x v="6"/>
    <n v="360.36"/>
  </r>
  <r>
    <d v="2024-08-06T00:00:00"/>
    <x v="5"/>
    <x v="1"/>
    <x v="0"/>
    <n v="26"/>
    <x v="12"/>
    <s v="*"/>
    <s v="*"/>
    <s v="*"/>
    <x v="5"/>
    <n v="360.36"/>
  </r>
  <r>
    <d v="2024-08-06T00:00:00"/>
    <x v="5"/>
    <x v="1"/>
    <x v="0"/>
    <n v="26"/>
    <x v="18"/>
    <s v="*"/>
    <s v="*"/>
    <s v="*"/>
    <x v="5"/>
    <n v="360.36"/>
  </r>
  <r>
    <d v="2024-08-06T00:00:00"/>
    <x v="5"/>
    <x v="1"/>
    <x v="0"/>
    <n v="10"/>
    <x v="2"/>
    <s v="*"/>
    <s v="*"/>
    <s v="*"/>
    <x v="6"/>
    <n v="138.6"/>
  </r>
  <r>
    <d v="2024-08-06T00:00:00"/>
    <x v="5"/>
    <x v="1"/>
    <x v="0"/>
    <n v="2"/>
    <x v="2"/>
    <s v="*"/>
    <s v="*"/>
    <s v="*"/>
    <x v="6"/>
    <n v="27.72"/>
  </r>
  <r>
    <d v="2024-08-06T00:00:00"/>
    <x v="5"/>
    <x v="1"/>
    <x v="0"/>
    <n v="26"/>
    <x v="18"/>
    <s v="*"/>
    <s v="*"/>
    <s v="*"/>
    <x v="5"/>
    <n v="360.36"/>
  </r>
  <r>
    <d v="2024-06-14T00:00:00"/>
    <x v="5"/>
    <x v="1"/>
    <x v="0"/>
    <n v="26"/>
    <x v="12"/>
    <s v="*"/>
    <s v="*"/>
    <s v="*"/>
    <x v="4"/>
    <n v="360.36"/>
  </r>
  <r>
    <d v="2024-06-14T00:00:00"/>
    <x v="5"/>
    <x v="1"/>
    <x v="0"/>
    <n v="26"/>
    <x v="2"/>
    <s v="*"/>
    <s v="*"/>
    <s v="*"/>
    <x v="4"/>
    <n v="360.36"/>
  </r>
  <r>
    <d v="2024-06-15T00:00:00"/>
    <x v="5"/>
    <x v="1"/>
    <x v="0"/>
    <n v="6"/>
    <x v="19"/>
    <s v="*"/>
    <s v="*"/>
    <s v="*"/>
    <x v="0"/>
    <n v="83.16"/>
  </r>
  <r>
    <d v="2024-06-15T00:00:00"/>
    <x v="5"/>
    <x v="1"/>
    <x v="0"/>
    <n v="24"/>
    <x v="12"/>
    <s v="*"/>
    <s v="*"/>
    <s v="*"/>
    <x v="8"/>
    <n v="332.64"/>
  </r>
  <r>
    <d v="2024-06-15T00:00:00"/>
    <x v="5"/>
    <x v="1"/>
    <x v="0"/>
    <n v="26"/>
    <x v="18"/>
    <s v="*"/>
    <s v="*"/>
    <s v="*"/>
    <x v="8"/>
    <n v="360.36"/>
  </r>
  <r>
    <d v="2024-06-21T00:00:00"/>
    <x v="5"/>
    <x v="1"/>
    <x v="1"/>
    <n v="1"/>
    <x v="4"/>
    <s v="*"/>
    <s v="*"/>
    <s v="*"/>
    <x v="5"/>
    <n v="13.86"/>
  </r>
  <r>
    <d v="2024-06-21T00:00:00"/>
    <x v="5"/>
    <x v="1"/>
    <x v="0"/>
    <n v="4"/>
    <x v="2"/>
    <s v="*"/>
    <s v="*"/>
    <s v="*"/>
    <x v="5"/>
    <n v="55.44"/>
  </r>
  <r>
    <d v="2024-06-21T00:00:00"/>
    <x v="5"/>
    <x v="1"/>
    <x v="1"/>
    <n v="16"/>
    <x v="4"/>
    <s v="*"/>
    <s v="*"/>
    <s v="*"/>
    <x v="5"/>
    <n v="221.76"/>
  </r>
  <r>
    <d v="2024-06-22T00:00:00"/>
    <x v="5"/>
    <x v="1"/>
    <x v="1"/>
    <n v="26"/>
    <x v="3"/>
    <s v="*"/>
    <s v="*"/>
    <s v="*"/>
    <x v="3"/>
    <n v="360.36"/>
  </r>
  <r>
    <d v="2024-06-22T00:00:00"/>
    <x v="5"/>
    <x v="1"/>
    <x v="0"/>
    <n v="26"/>
    <x v="18"/>
    <s v="*"/>
    <s v="*"/>
    <s v="*"/>
    <x v="1"/>
    <n v="360.36"/>
  </r>
  <r>
    <d v="2024-06-23T00:00:00"/>
    <x v="5"/>
    <x v="1"/>
    <x v="0"/>
    <n v="26"/>
    <x v="12"/>
    <s v="*"/>
    <s v="*"/>
    <s v="*"/>
    <x v="5"/>
    <n v="360.36"/>
  </r>
  <r>
    <d v="2024-06-23T00:00:00"/>
    <x v="5"/>
    <x v="1"/>
    <x v="0"/>
    <n v="10"/>
    <x v="2"/>
    <s v="*"/>
    <s v="*"/>
    <s v="*"/>
    <x v="1"/>
    <n v="138.6"/>
  </r>
  <r>
    <d v="2024-06-23T00:00:00"/>
    <x v="5"/>
    <x v="1"/>
    <x v="0"/>
    <n v="16"/>
    <x v="5"/>
    <s v="*"/>
    <s v="*"/>
    <s v="*"/>
    <x v="8"/>
    <n v="221.76"/>
  </r>
  <r>
    <d v="2024-06-24T00:00:00"/>
    <x v="5"/>
    <x v="1"/>
    <x v="0"/>
    <n v="26"/>
    <x v="14"/>
    <s v="*"/>
    <s v="*"/>
    <s v="*"/>
    <x v="5"/>
    <n v="360.36"/>
  </r>
  <r>
    <d v="2024-06-24T00:00:00"/>
    <x v="5"/>
    <x v="1"/>
    <x v="0"/>
    <n v="5"/>
    <x v="2"/>
    <s v="*"/>
    <s v="*"/>
    <s v="*"/>
    <x v="5"/>
    <n v="69.3"/>
  </r>
  <r>
    <d v="2024-06-26T00:00:00"/>
    <x v="5"/>
    <x v="1"/>
    <x v="0"/>
    <n v="26"/>
    <x v="19"/>
    <s v="*"/>
    <s v="*"/>
    <s v="*"/>
    <x v="8"/>
    <n v="360.36"/>
  </r>
  <r>
    <d v="2024-06-28T00:00:00"/>
    <x v="5"/>
    <x v="1"/>
    <x v="1"/>
    <n v="5"/>
    <x v="2"/>
    <s v="*"/>
    <s v="*"/>
    <s v="*"/>
    <x v="0"/>
    <n v="69.3"/>
  </r>
  <r>
    <d v="2024-06-28T00:00:00"/>
    <x v="5"/>
    <x v="1"/>
    <x v="1"/>
    <n v="7"/>
    <x v="4"/>
    <s v="*"/>
    <s v="*"/>
    <s v="*"/>
    <x v="0"/>
    <n v="97.02"/>
  </r>
  <r>
    <d v="2024-06-29T00:00:00"/>
    <x v="5"/>
    <x v="1"/>
    <x v="0"/>
    <n v="8"/>
    <x v="3"/>
    <s v="*"/>
    <s v="*"/>
    <s v="*"/>
    <x v="1"/>
    <n v="110.88"/>
  </r>
  <r>
    <d v="2024-06-29T00:00:00"/>
    <x v="5"/>
    <x v="1"/>
    <x v="0"/>
    <n v="24"/>
    <x v="12"/>
    <s v="*"/>
    <s v="*"/>
    <s v="*"/>
    <x v="1"/>
    <n v="332.64"/>
  </r>
  <r>
    <d v="2024-06-29T00:00:00"/>
    <x v="5"/>
    <x v="1"/>
    <x v="0"/>
    <n v="26"/>
    <x v="20"/>
    <s v="*"/>
    <s v="*"/>
    <s v="*"/>
    <x v="8"/>
    <n v="360.36"/>
  </r>
  <r>
    <d v="2024-06-29T00:00:00"/>
    <x v="5"/>
    <x v="1"/>
    <x v="0"/>
    <n v="26"/>
    <x v="5"/>
    <s v="*"/>
    <s v="*"/>
    <s v="*"/>
    <x v="0"/>
    <n v="360.36"/>
  </r>
  <r>
    <s v="31/06/2024"/>
    <x v="5"/>
    <x v="1"/>
    <x v="1"/>
    <n v="5"/>
    <x v="1"/>
    <s v="*"/>
    <s v="*"/>
    <s v="*"/>
    <x v="5"/>
    <n v="69.3"/>
  </r>
  <r>
    <d v="2024-07-03T00:00:00"/>
    <x v="6"/>
    <x v="1"/>
    <x v="0"/>
    <n v="26"/>
    <x v="20"/>
    <s v="*"/>
    <s v="*"/>
    <s v="*"/>
    <x v="5"/>
    <n v="360.36"/>
  </r>
  <r>
    <d v="2024-07-03T00:00:00"/>
    <x v="6"/>
    <x v="1"/>
    <x v="1"/>
    <n v="12"/>
    <x v="1"/>
    <s v="*"/>
    <s v="*"/>
    <s v="*"/>
    <x v="5"/>
    <n v="166.32"/>
  </r>
  <r>
    <d v="2024-05-07T00:00:00"/>
    <x v="6"/>
    <x v="1"/>
    <x v="1"/>
    <n v="4"/>
    <x v="16"/>
    <s v="*"/>
    <s v="*"/>
    <s v="*"/>
    <x v="5"/>
    <n v="55.44"/>
  </r>
  <r>
    <d v="2024-06-07T00:00:00"/>
    <x v="6"/>
    <x v="1"/>
    <x v="0"/>
    <n v="26"/>
    <x v="16"/>
    <s v="*"/>
    <s v="*"/>
    <s v="*"/>
    <x v="1"/>
    <n v="360.36"/>
  </r>
  <r>
    <d v="2024-06-07T00:00:00"/>
    <x v="6"/>
    <x v="1"/>
    <x v="0"/>
    <n v="26"/>
    <x v="20"/>
    <s v="*"/>
    <s v="*"/>
    <s v="*"/>
    <x v="5"/>
    <n v="360.36"/>
  </r>
  <r>
    <d v="2024-07-07T00:00:00"/>
    <x v="6"/>
    <x v="1"/>
    <x v="0"/>
    <n v="26"/>
    <x v="4"/>
    <s v="*"/>
    <s v="*"/>
    <s v="*"/>
    <x v="0"/>
    <n v="360.36"/>
  </r>
  <r>
    <d v="2024-07-07T00:00:00"/>
    <x v="6"/>
    <x v="1"/>
    <x v="0"/>
    <n v="10"/>
    <x v="2"/>
    <s v="*"/>
    <s v="*"/>
    <s v="*"/>
    <x v="1"/>
    <n v="138.6"/>
  </r>
  <r>
    <d v="2024-08-07T00:00:00"/>
    <x v="6"/>
    <x v="1"/>
    <x v="0"/>
    <n v="26"/>
    <x v="18"/>
    <s v="*"/>
    <s v="*"/>
    <s v="*"/>
    <x v="8"/>
    <n v="360.36"/>
  </r>
  <r>
    <d v="2024-10-07T00:00:00"/>
    <x v="6"/>
    <x v="1"/>
    <x v="0"/>
    <n v="22"/>
    <x v="2"/>
    <s v="*"/>
    <s v="*"/>
    <s v="*"/>
    <x v="8"/>
    <n v="304.91999999999996"/>
  </r>
  <r>
    <d v="2024-10-07T00:00:00"/>
    <x v="6"/>
    <x v="1"/>
    <x v="1"/>
    <n v="10"/>
    <x v="1"/>
    <s v="*"/>
    <s v="*"/>
    <s v="*"/>
    <x v="0"/>
    <n v="138.6"/>
  </r>
  <r>
    <d v="2024-12-07T00:00:00"/>
    <x v="6"/>
    <x v="1"/>
    <x v="0"/>
    <n v="26"/>
    <x v="16"/>
    <s v="*"/>
    <s v="*"/>
    <s v="*"/>
    <x v="0"/>
    <n v="360.36"/>
  </r>
  <r>
    <d v="2024-12-07T00:00:00"/>
    <x v="6"/>
    <x v="1"/>
    <x v="0"/>
    <n v="26"/>
    <x v="16"/>
    <s v="*"/>
    <s v="*"/>
    <s v="*"/>
    <x v="4"/>
    <n v="360.36"/>
  </r>
  <r>
    <d v="2024-12-07T00:00:00"/>
    <x v="6"/>
    <x v="1"/>
    <x v="1"/>
    <n v="8"/>
    <x v="4"/>
    <s v="*"/>
    <s v="*"/>
    <s v="*"/>
    <x v="5"/>
    <n v="110.88"/>
  </r>
  <r>
    <d v="2024-12-07T00:00:00"/>
    <x v="6"/>
    <x v="1"/>
    <x v="0"/>
    <n v="26"/>
    <x v="20"/>
    <s v="*"/>
    <s v="*"/>
    <s v="*"/>
    <x v="5"/>
    <n v="360.36"/>
  </r>
  <r>
    <d v="2024-12-07T00:00:00"/>
    <x v="6"/>
    <x v="1"/>
    <x v="0"/>
    <n v="24"/>
    <x v="12"/>
    <s v="*"/>
    <s v="*"/>
    <s v="*"/>
    <x v="5"/>
    <n v="332.64"/>
  </r>
  <r>
    <d v="2024-07-13T00:00:00"/>
    <x v="6"/>
    <x v="1"/>
    <x v="1"/>
    <n v="3"/>
    <x v="2"/>
    <s v="*"/>
    <s v="*"/>
    <s v="*"/>
    <x v="5"/>
    <n v="41.58"/>
  </r>
  <r>
    <d v="2024-07-14T00:00:00"/>
    <x v="6"/>
    <x v="1"/>
    <x v="0"/>
    <n v="26"/>
    <x v="16"/>
    <s v="*"/>
    <s v="*"/>
    <s v="*"/>
    <x v="0"/>
    <n v="360.36"/>
  </r>
  <r>
    <d v="2024-07-15T00:00:00"/>
    <x v="6"/>
    <x v="1"/>
    <x v="0"/>
    <n v="26"/>
    <x v="18"/>
    <s v="*"/>
    <s v="*"/>
    <s v="*"/>
    <x v="1"/>
    <n v="360.36"/>
  </r>
  <r>
    <d v="2024-07-19T00:00:00"/>
    <x v="6"/>
    <x v="1"/>
    <x v="0"/>
    <n v="26"/>
    <x v="18"/>
    <s v="*"/>
    <s v="*"/>
    <s v="*"/>
    <x v="8"/>
    <n v="360.36"/>
  </r>
  <r>
    <d v="2024-07-19T00:00:00"/>
    <x v="6"/>
    <x v="1"/>
    <x v="0"/>
    <n v="26"/>
    <x v="18"/>
    <s v="*"/>
    <s v="*"/>
    <s v="*"/>
    <x v="8"/>
    <n v="360.36"/>
  </r>
  <r>
    <d v="2024-07-21T00:00:00"/>
    <x v="6"/>
    <x v="1"/>
    <x v="0"/>
    <n v="26"/>
    <x v="21"/>
    <s v="*"/>
    <s v="*"/>
    <s v="*"/>
    <x v="0"/>
    <n v="360.36"/>
  </r>
  <r>
    <d v="2024-07-21T00:00:00"/>
    <x v="6"/>
    <x v="1"/>
    <x v="0"/>
    <n v="26"/>
    <x v="4"/>
    <s v="*"/>
    <s v="*"/>
    <s v="*"/>
    <x v="3"/>
    <n v="360.36"/>
  </r>
  <r>
    <d v="2024-07-23T00:00:00"/>
    <x v="6"/>
    <x v="1"/>
    <x v="0"/>
    <n v="48"/>
    <x v="1"/>
    <s v="*"/>
    <s v="*"/>
    <s v="*"/>
    <x v="0"/>
    <n v="665.28"/>
  </r>
  <r>
    <d v="2024-07-26T00:00:00"/>
    <x v="6"/>
    <x v="1"/>
    <x v="0"/>
    <n v="7"/>
    <x v="4"/>
    <s v="*"/>
    <s v="*"/>
    <s v="*"/>
    <x v="3"/>
    <n v="97.02"/>
  </r>
  <r>
    <d v="2024-07-26T00:00:00"/>
    <x v="6"/>
    <x v="1"/>
    <x v="0"/>
    <n v="14"/>
    <x v="5"/>
    <s v="*"/>
    <s v="*"/>
    <s v="*"/>
    <x v="1"/>
    <n v="194.04"/>
  </r>
  <r>
    <d v="2024-07-27T00:00:00"/>
    <x v="6"/>
    <x v="1"/>
    <x v="0"/>
    <n v="9"/>
    <x v="2"/>
    <s v="*"/>
    <s v="*"/>
    <s v="*"/>
    <x v="5"/>
    <n v="124.74"/>
  </r>
  <r>
    <d v="2024-07-27T00:00:00"/>
    <x v="6"/>
    <x v="1"/>
    <x v="0"/>
    <n v="26"/>
    <x v="16"/>
    <s v="*"/>
    <s v="*"/>
    <s v="*"/>
    <x v="1"/>
    <n v="360.36"/>
  </r>
  <r>
    <d v="2024-07-27T00:00:00"/>
    <x v="6"/>
    <x v="1"/>
    <x v="0"/>
    <n v="26"/>
    <x v="14"/>
    <s v="*"/>
    <s v="*"/>
    <s v="*"/>
    <x v="3"/>
    <n v="360.36"/>
  </r>
  <r>
    <d v="2024-07-27T00:00:00"/>
    <x v="6"/>
    <x v="1"/>
    <x v="0"/>
    <n v="26"/>
    <x v="16"/>
    <s v="*"/>
    <s v="*"/>
    <s v="*"/>
    <x v="3"/>
    <n v="360.36"/>
  </r>
  <r>
    <d v="2024-07-29T00:00:00"/>
    <x v="6"/>
    <x v="1"/>
    <x v="0"/>
    <n v="26"/>
    <x v="16"/>
    <s v="*"/>
    <s v="*"/>
    <s v="*"/>
    <x v="5"/>
    <n v="360.36"/>
  </r>
  <r>
    <d v="2024-07-31T00:00:00"/>
    <x v="6"/>
    <x v="1"/>
    <x v="0"/>
    <n v="26"/>
    <x v="16"/>
    <s v="*"/>
    <s v="*"/>
    <s v="*"/>
    <x v="5"/>
    <n v="360.36"/>
  </r>
  <r>
    <d v="2024-02-08T00:00:00"/>
    <x v="7"/>
    <x v="1"/>
    <x v="0"/>
    <n v="8"/>
    <x v="2"/>
    <s v="*"/>
    <s v="*"/>
    <s v="*"/>
    <x v="1"/>
    <n v="110.88"/>
  </r>
  <r>
    <d v="2024-02-08T00:00:00"/>
    <x v="7"/>
    <x v="1"/>
    <x v="0"/>
    <n v="26"/>
    <x v="2"/>
    <s v="*"/>
    <s v="*"/>
    <s v="*"/>
    <x v="3"/>
    <n v="360.36"/>
  </r>
  <r>
    <d v="2024-02-08T00:00:00"/>
    <x v="7"/>
    <x v="1"/>
    <x v="0"/>
    <n v="26"/>
    <x v="18"/>
    <s v="*"/>
    <s v="*"/>
    <s v="*"/>
    <x v="8"/>
    <n v="360.36"/>
  </r>
  <r>
    <d v="2024-03-08T00:00:00"/>
    <x v="7"/>
    <x v="1"/>
    <x v="0"/>
    <n v="26"/>
    <x v="16"/>
    <s v="*"/>
    <s v="*"/>
    <s v="*"/>
    <x v="1"/>
    <n v="360.36"/>
  </r>
  <r>
    <d v="2024-03-08T00:00:00"/>
    <x v="7"/>
    <x v="1"/>
    <x v="1"/>
    <n v="26"/>
    <x v="16"/>
    <s v="*"/>
    <s v="*"/>
    <s v="*"/>
    <x v="1"/>
    <n v="360.36"/>
  </r>
  <r>
    <d v="2024-09-08T00:00:00"/>
    <x v="7"/>
    <x v="1"/>
    <x v="1"/>
    <n v="26"/>
    <x v="4"/>
    <s v="*"/>
    <s v="*"/>
    <s v="*"/>
    <x v="4"/>
    <n v="360.36"/>
  </r>
  <r>
    <d v="2024-10-08T00:00:00"/>
    <x v="7"/>
    <x v="1"/>
    <x v="0"/>
    <n v="26"/>
    <x v="1"/>
    <s v="*"/>
    <s v="*"/>
    <s v="*"/>
    <x v="3"/>
    <n v="360.36"/>
  </r>
  <r>
    <d v="2024-10-08T00:00:00"/>
    <x v="7"/>
    <x v="1"/>
    <x v="1"/>
    <n v="26"/>
    <x v="4"/>
    <s v="*"/>
    <s v="*"/>
    <s v="*"/>
    <x v="8"/>
    <n v="360.36"/>
  </r>
  <r>
    <d v="2024-11-08T00:00:00"/>
    <x v="7"/>
    <x v="1"/>
    <x v="0"/>
    <n v="24"/>
    <x v="21"/>
    <s v="*"/>
    <s v="*"/>
    <s v="*"/>
    <x v="5"/>
    <n v="332.64"/>
  </r>
  <r>
    <d v="2024-08-13T00:00:00"/>
    <x v="7"/>
    <x v="1"/>
    <x v="0"/>
    <n v="26"/>
    <x v="16"/>
    <s v="*"/>
    <s v="*"/>
    <s v="*"/>
    <x v="8"/>
    <n v="360.36"/>
  </r>
  <r>
    <d v="2024-08-14T00:00:00"/>
    <x v="7"/>
    <x v="1"/>
    <x v="0"/>
    <n v="26"/>
    <x v="16"/>
    <s v="*"/>
    <s v="*"/>
    <s v="*"/>
    <x v="8"/>
    <n v="360.36"/>
  </r>
  <r>
    <d v="2024-08-14T00:00:00"/>
    <x v="7"/>
    <x v="1"/>
    <x v="0"/>
    <n v="26"/>
    <x v="16"/>
    <s v="*"/>
    <s v="*"/>
    <s v="*"/>
    <x v="8"/>
    <n v="360.36"/>
  </r>
  <r>
    <d v="2024-08-16T00:00:00"/>
    <x v="7"/>
    <x v="1"/>
    <x v="0"/>
    <n v="4"/>
    <x v="12"/>
    <s v="*"/>
    <s v="*"/>
    <s v="*"/>
    <x v="5"/>
    <n v="55.44"/>
  </r>
  <r>
    <d v="2024-08-17T00:00:00"/>
    <x v="7"/>
    <x v="1"/>
    <x v="0"/>
    <n v="26"/>
    <x v="16"/>
    <s v="*"/>
    <s v="*"/>
    <s v="*"/>
    <x v="8"/>
    <n v="360.36"/>
  </r>
  <r>
    <d v="2024-08-17T00:00:00"/>
    <x v="7"/>
    <x v="1"/>
    <x v="0"/>
    <n v="24"/>
    <x v="16"/>
    <s v="*"/>
    <s v="*"/>
    <s v="*"/>
    <x v="8"/>
    <n v="332.64"/>
  </r>
  <r>
    <d v="2024-08-17T00:00:00"/>
    <x v="7"/>
    <x v="1"/>
    <x v="0"/>
    <n v="24"/>
    <x v="10"/>
    <s v="*"/>
    <s v="*"/>
    <s v="*"/>
    <x v="8"/>
    <n v="332.64"/>
  </r>
  <r>
    <d v="2024-08-18T00:00:00"/>
    <x v="7"/>
    <x v="1"/>
    <x v="0"/>
    <n v="4"/>
    <x v="12"/>
    <s v="*"/>
    <s v="*"/>
    <s v="*"/>
    <x v="5"/>
    <n v="55.44"/>
  </r>
  <r>
    <d v="2024-08-18T00:00:00"/>
    <x v="7"/>
    <x v="1"/>
    <x v="0"/>
    <n v="26"/>
    <x v="13"/>
    <s v="*"/>
    <s v="*"/>
    <s v="*"/>
    <x v="8"/>
    <n v="360.36"/>
  </r>
  <r>
    <d v="2024-08-23T00:00:00"/>
    <x v="7"/>
    <x v="1"/>
    <x v="0"/>
    <n v="5"/>
    <x v="2"/>
    <s v="*"/>
    <s v="*"/>
    <s v="*"/>
    <x v="1"/>
    <n v="69.3"/>
  </r>
  <r>
    <d v="2024-08-23T00:00:00"/>
    <x v="7"/>
    <x v="1"/>
    <x v="0"/>
    <n v="26"/>
    <x v="12"/>
    <s v="*"/>
    <s v="*"/>
    <s v="*"/>
    <x v="1"/>
    <n v="360.36"/>
  </r>
  <r>
    <d v="2024-08-23T00:00:00"/>
    <x v="7"/>
    <x v="1"/>
    <x v="1"/>
    <n v="17"/>
    <x v="1"/>
    <s v="*"/>
    <s v="*"/>
    <s v="*"/>
    <x v="1"/>
    <n v="235.62"/>
  </r>
  <r>
    <d v="2024-08-24T00:00:00"/>
    <x v="7"/>
    <x v="1"/>
    <x v="1"/>
    <n v="26"/>
    <x v="18"/>
    <s v="*"/>
    <s v="*"/>
    <s v="*"/>
    <x v="1"/>
    <n v="360.36"/>
  </r>
  <r>
    <d v="2024-08-24T00:00:00"/>
    <x v="7"/>
    <x v="1"/>
    <x v="1"/>
    <n v="26"/>
    <x v="16"/>
    <s v="*"/>
    <s v="*"/>
    <s v="*"/>
    <x v="1"/>
    <n v="360.36"/>
  </r>
  <r>
    <d v="2024-08-14T00:00:00"/>
    <x v="7"/>
    <x v="1"/>
    <x v="0"/>
    <n v="5"/>
    <x v="16"/>
    <s v="*"/>
    <s v="*"/>
    <s v="*"/>
    <x v="8"/>
    <n v="69.3"/>
  </r>
  <r>
    <d v="2024-08-25T00:00:00"/>
    <x v="7"/>
    <x v="1"/>
    <x v="0"/>
    <n v="24"/>
    <x v="16"/>
    <s v="*"/>
    <s v="*"/>
    <s v="*"/>
    <x v="5"/>
    <n v="332.64"/>
  </r>
  <r>
    <d v="2024-08-25T00:00:00"/>
    <x v="7"/>
    <x v="1"/>
    <x v="0"/>
    <n v="26"/>
    <x v="21"/>
    <s v="*"/>
    <s v="*"/>
    <s v="*"/>
    <x v="8"/>
    <n v="360.36"/>
  </r>
  <r>
    <d v="2024-08-25T00:00:00"/>
    <x v="7"/>
    <x v="1"/>
    <x v="0"/>
    <n v="28"/>
    <x v="18"/>
    <s v="*"/>
    <s v="*"/>
    <s v="*"/>
    <x v="5"/>
    <n v="388.08"/>
  </r>
  <r>
    <d v="2024-01-09T00:00:00"/>
    <x v="8"/>
    <x v="1"/>
    <x v="0"/>
    <n v="26"/>
    <x v="21"/>
    <s v="*"/>
    <s v="*"/>
    <s v="*"/>
    <x v="1"/>
    <n v="360.36"/>
  </r>
  <r>
    <d v="2024-01-09T00:00:00"/>
    <x v="8"/>
    <x v="1"/>
    <x v="0"/>
    <n v="26"/>
    <x v="18"/>
    <s v="*"/>
    <s v="*"/>
    <s v="*"/>
    <x v="8"/>
    <n v="360.36"/>
  </r>
  <r>
    <d v="2024-01-09T00:00:00"/>
    <x v="8"/>
    <x v="1"/>
    <x v="1"/>
    <n v="17"/>
    <x v="3"/>
    <s v="*"/>
    <s v="*"/>
    <s v="*"/>
    <x v="8"/>
    <n v="235.62"/>
  </r>
  <r>
    <d v="2024-09-01T00:00:00"/>
    <x v="8"/>
    <x v="1"/>
    <x v="0"/>
    <n v="26"/>
    <x v="4"/>
    <s v="*"/>
    <s v="*"/>
    <s v="*"/>
    <x v="8"/>
    <n v="360.36"/>
  </r>
  <r>
    <d v="2024-02-09T00:00:00"/>
    <x v="8"/>
    <x v="1"/>
    <x v="1"/>
    <n v="26"/>
    <x v="4"/>
    <s v="*"/>
    <s v="*"/>
    <s v="*"/>
    <x v="8"/>
    <n v="360.36"/>
  </r>
  <r>
    <d v="2024-03-09T00:00:00"/>
    <x v="8"/>
    <x v="1"/>
    <x v="1"/>
    <n v="26"/>
    <x v="17"/>
    <s v="*"/>
    <s v="*"/>
    <s v="*"/>
    <x v="5"/>
    <n v="360.36"/>
  </r>
  <r>
    <d v="2024-06-09T00:00:00"/>
    <x v="8"/>
    <x v="1"/>
    <x v="1"/>
    <n v="10"/>
    <x v="1"/>
    <s v="*"/>
    <s v="*"/>
    <s v="*"/>
    <x v="1"/>
    <n v="138.6"/>
  </r>
  <r>
    <d v="2024-08-09T00:00:00"/>
    <x v="8"/>
    <x v="1"/>
    <x v="1"/>
    <n v="3"/>
    <x v="2"/>
    <s v="*"/>
    <s v="*"/>
    <s v="*"/>
    <x v="5"/>
    <n v="41.58"/>
  </r>
  <r>
    <d v="2024-08-09T00:00:00"/>
    <x v="8"/>
    <x v="1"/>
    <x v="0"/>
    <n v="26"/>
    <x v="2"/>
    <s v="*"/>
    <s v="*"/>
    <s v="*"/>
    <x v="0"/>
    <n v="360.36"/>
  </r>
  <r>
    <d v="2024-11-09T00:00:00"/>
    <x v="8"/>
    <x v="1"/>
    <x v="0"/>
    <n v="26"/>
    <x v="18"/>
    <s v="*"/>
    <s v="*"/>
    <s v="*"/>
    <x v="0"/>
    <n v="360.36"/>
  </r>
  <r>
    <d v="2024-09-13T00:00:00"/>
    <x v="8"/>
    <x v="1"/>
    <x v="0"/>
    <n v="3"/>
    <x v="2"/>
    <s v="*"/>
    <s v="*"/>
    <s v="*"/>
    <x v="0"/>
    <n v="41.58"/>
  </r>
  <r>
    <s v="13/092024"/>
    <x v="8"/>
    <x v="1"/>
    <x v="1"/>
    <n v="18"/>
    <x v="2"/>
    <s v="*"/>
    <s v="*"/>
    <s v="*"/>
    <x v="0"/>
    <n v="249.48"/>
  </r>
  <r>
    <d v="2024-09-13T00:00:00"/>
    <x v="8"/>
    <x v="1"/>
    <x v="0"/>
    <n v="10"/>
    <x v="1"/>
    <s v="*"/>
    <s v="*"/>
    <s v="*"/>
    <x v="4"/>
    <n v="138.6"/>
  </r>
  <r>
    <d v="2024-09-13T00:00:00"/>
    <x v="8"/>
    <x v="1"/>
    <x v="0"/>
    <n v="26"/>
    <x v="21"/>
    <s v="*"/>
    <s v="*"/>
    <s v="*"/>
    <x v="4"/>
    <n v="360.36"/>
  </r>
  <r>
    <d v="2024-09-13T00:00:00"/>
    <x v="8"/>
    <x v="1"/>
    <x v="0"/>
    <n v="26"/>
    <x v="21"/>
    <s v="*"/>
    <s v="*"/>
    <s v="*"/>
    <x v="5"/>
    <n v="360.36"/>
  </r>
  <r>
    <d v="2024-09-13T00:00:00"/>
    <x v="8"/>
    <x v="1"/>
    <x v="0"/>
    <n v="26"/>
    <x v="21"/>
    <s v="*"/>
    <s v="*"/>
    <s v="*"/>
    <x v="5"/>
    <n v="360.36"/>
  </r>
  <r>
    <d v="2024-09-13T00:00:00"/>
    <x v="8"/>
    <x v="1"/>
    <x v="0"/>
    <n v="26"/>
    <x v="21"/>
    <s v="*"/>
    <s v="*"/>
    <s v="*"/>
    <x v="5"/>
    <n v="360.36"/>
  </r>
  <r>
    <d v="2024-09-14T00:00:00"/>
    <x v="8"/>
    <x v="1"/>
    <x v="0"/>
    <n v="24"/>
    <x v="16"/>
    <s v="*"/>
    <s v="*"/>
    <s v="*"/>
    <x v="3"/>
    <n v="332.64"/>
  </r>
  <r>
    <d v="2024-09-14T00:00:00"/>
    <x v="8"/>
    <x v="1"/>
    <x v="0"/>
    <n v="26"/>
    <x v="21"/>
    <s v="*"/>
    <s v="*"/>
    <s v="*"/>
    <x v="5"/>
    <n v="360.36"/>
  </r>
  <r>
    <d v="2024-09-14T00:00:00"/>
    <x v="8"/>
    <x v="1"/>
    <x v="0"/>
    <n v="26"/>
    <x v="16"/>
    <s v="*"/>
    <s v="*"/>
    <s v="*"/>
    <x v="4"/>
    <n v="360.36"/>
  </r>
  <r>
    <d v="2024-09-14T00:00:00"/>
    <x v="8"/>
    <x v="1"/>
    <x v="1"/>
    <n v="26"/>
    <x v="18"/>
    <s v="*"/>
    <s v="*"/>
    <s v="*"/>
    <x v="1"/>
    <n v="360.36"/>
  </r>
  <r>
    <d v="2024-09-14T00:00:00"/>
    <x v="8"/>
    <x v="1"/>
    <x v="1"/>
    <n v="26"/>
    <x v="18"/>
    <s v="*"/>
    <s v="*"/>
    <s v="*"/>
    <x v="1"/>
    <n v="360.36"/>
  </r>
  <r>
    <d v="2024-09-14T00:00:00"/>
    <x v="8"/>
    <x v="1"/>
    <x v="0"/>
    <n v="26"/>
    <x v="16"/>
    <s v="*"/>
    <s v="*"/>
    <s v="*"/>
    <x v="1"/>
    <n v="360.36"/>
  </r>
  <r>
    <d v="2024-09-15T00:00:00"/>
    <x v="8"/>
    <x v="1"/>
    <x v="0"/>
    <n v="26"/>
    <x v="18"/>
    <s v="*"/>
    <s v="*"/>
    <s v="*"/>
    <x v="1"/>
    <n v="360.36"/>
  </r>
  <r>
    <d v="2024-09-15T00:00:00"/>
    <x v="8"/>
    <x v="1"/>
    <x v="1"/>
    <n v="16"/>
    <x v="1"/>
    <s v="*"/>
    <s v="*"/>
    <s v="*"/>
    <x v="3"/>
    <n v="221.76"/>
  </r>
  <r>
    <d v="2024-09-16T00:00:00"/>
    <x v="8"/>
    <x v="1"/>
    <x v="0"/>
    <n v="12"/>
    <x v="22"/>
    <s v="*"/>
    <s v="*"/>
    <s v="*"/>
    <x v="4"/>
    <n v="166.32"/>
  </r>
  <r>
    <d v="2024-09-20T00:00:00"/>
    <x v="8"/>
    <x v="1"/>
    <x v="0"/>
    <n v="26"/>
    <x v="19"/>
    <s v="*"/>
    <s v="*"/>
    <s v="*"/>
    <x v="1"/>
    <n v="360.36"/>
  </r>
  <r>
    <d v="2024-09-20T00:00:00"/>
    <x v="8"/>
    <x v="1"/>
    <x v="0"/>
    <n v="8"/>
    <x v="5"/>
    <s v="*"/>
    <s v="*"/>
    <s v="*"/>
    <x v="1"/>
    <n v="110.88"/>
  </r>
  <r>
    <d v="2024-09-20T00:00:00"/>
    <x v="8"/>
    <x v="1"/>
    <x v="0"/>
    <n v="26"/>
    <x v="23"/>
    <s v="*"/>
    <s v="*"/>
    <s v="*"/>
    <x v="0"/>
    <n v="360.36"/>
  </r>
  <r>
    <d v="2024-09-22T00:00:00"/>
    <x v="8"/>
    <x v="1"/>
    <x v="0"/>
    <n v="26"/>
    <x v="16"/>
    <s v="*"/>
    <s v="*"/>
    <s v="*"/>
    <x v="5"/>
    <n v="360.36"/>
  </r>
  <r>
    <d v="2024-09-24T00:00:00"/>
    <x v="8"/>
    <x v="1"/>
    <x v="0"/>
    <n v="26"/>
    <x v="16"/>
    <s v="*"/>
    <s v="*"/>
    <s v="*"/>
    <x v="1"/>
    <n v="360.36"/>
  </r>
  <r>
    <d v="2024-09-26T00:00:00"/>
    <x v="8"/>
    <x v="1"/>
    <x v="1"/>
    <n v="40"/>
    <x v="0"/>
    <s v="*"/>
    <s v="*"/>
    <s v="*"/>
    <x v="1"/>
    <n v="554.4"/>
  </r>
  <r>
    <d v="2024-09-27T00:00:00"/>
    <x v="8"/>
    <x v="1"/>
    <x v="1"/>
    <n v="26"/>
    <x v="0"/>
    <s v="*"/>
    <s v="*"/>
    <s v="*"/>
    <x v="5"/>
    <n v="360.36"/>
  </r>
  <r>
    <d v="2024-09-27T00:00:00"/>
    <x v="8"/>
    <x v="1"/>
    <x v="1"/>
    <n v="4"/>
    <x v="4"/>
    <s v="*"/>
    <s v="*"/>
    <s v="*"/>
    <x v="5"/>
    <n v="55.44"/>
  </r>
  <r>
    <d v="2024-09-27T00:00:00"/>
    <x v="8"/>
    <x v="1"/>
    <x v="0"/>
    <n v="3"/>
    <x v="2"/>
    <s v="*"/>
    <s v="*"/>
    <s v="*"/>
    <x v="5"/>
    <n v="41.58"/>
  </r>
  <r>
    <d v="2024-09-28T00:00:00"/>
    <x v="8"/>
    <x v="1"/>
    <x v="1"/>
    <n v="14"/>
    <x v="1"/>
    <s v="*"/>
    <s v="*"/>
    <s v="*"/>
    <x v="5"/>
    <n v="194.04"/>
  </r>
  <r>
    <d v="2024-09-28T00:00:00"/>
    <x v="8"/>
    <x v="1"/>
    <x v="1"/>
    <n v="40"/>
    <x v="9"/>
    <s v="*"/>
    <s v="*"/>
    <s v="*"/>
    <x v="5"/>
    <n v="554.4"/>
  </r>
  <r>
    <d v="2024-09-29T00:00:00"/>
    <x v="8"/>
    <x v="1"/>
    <x v="0"/>
    <n v="26"/>
    <x v="16"/>
    <s v="*"/>
    <s v="*"/>
    <s v="*"/>
    <x v="5"/>
    <n v="360.36"/>
  </r>
  <r>
    <d v="2024-09-29T00:00:00"/>
    <x v="8"/>
    <x v="1"/>
    <x v="0"/>
    <n v="26"/>
    <x v="16"/>
    <s v="*"/>
    <s v="*"/>
    <s v="*"/>
    <x v="5"/>
    <n v="360.36"/>
  </r>
  <r>
    <d v="2024-09-29T00:00:00"/>
    <x v="8"/>
    <x v="1"/>
    <x v="2"/>
    <n v="-24"/>
    <x v="16"/>
    <s v="*"/>
    <s v="*"/>
    <s v="*"/>
    <x v="2"/>
    <n v="-332.64"/>
  </r>
  <r>
    <d v="2024-09-29T00:00:00"/>
    <x v="8"/>
    <x v="1"/>
    <x v="2"/>
    <n v="-24"/>
    <x v="16"/>
    <s v="*"/>
    <s v="*"/>
    <s v="*"/>
    <x v="2"/>
    <n v="-332.64"/>
  </r>
  <r>
    <d v="2024-09-30T00:00:00"/>
    <x v="8"/>
    <x v="1"/>
    <x v="1"/>
    <n v="22"/>
    <x v="24"/>
    <s v="*"/>
    <s v="*"/>
    <s v="*"/>
    <x v="5"/>
    <n v="304.91999999999996"/>
  </r>
  <r>
    <d v="2024-09-30T00:00:00"/>
    <x v="8"/>
    <x v="1"/>
    <x v="0"/>
    <n v="26"/>
    <x v="24"/>
    <s v="*"/>
    <s v="*"/>
    <s v="*"/>
    <x v="3"/>
    <n v="360.36"/>
  </r>
  <r>
    <d v="2024-09-30T00:00:00"/>
    <x v="8"/>
    <x v="1"/>
    <x v="0"/>
    <n v="26"/>
    <x v="21"/>
    <s v="*"/>
    <s v="*"/>
    <s v="*"/>
    <x v="5"/>
    <n v="360.36"/>
  </r>
  <r>
    <d v="2024-09-30T00:00:00"/>
    <x v="8"/>
    <x v="1"/>
    <x v="1"/>
    <n v="12"/>
    <x v="22"/>
    <s v="*"/>
    <s v="*"/>
    <s v="*"/>
    <x v="5"/>
    <n v="166.32"/>
  </r>
  <r>
    <d v="2024-01-10T00:00:00"/>
    <x v="9"/>
    <x v="1"/>
    <x v="0"/>
    <n v="24"/>
    <x v="25"/>
    <s v="*"/>
    <s v="*"/>
    <s v="*"/>
    <x v="5"/>
    <n v="332.64"/>
  </r>
  <r>
    <d v="2024-01-10T00:00:00"/>
    <x v="9"/>
    <x v="1"/>
    <x v="0"/>
    <n v="10"/>
    <x v="15"/>
    <s v="*"/>
    <s v="*"/>
    <s v="*"/>
    <x v="5"/>
    <n v="138.6"/>
  </r>
  <r>
    <d v="2024-02-10T00:00:00"/>
    <x v="9"/>
    <x v="1"/>
    <x v="1"/>
    <n v="26"/>
    <x v="16"/>
    <s v="*"/>
    <s v="*"/>
    <s v="*"/>
    <x v="4"/>
    <n v="360.36"/>
  </r>
  <r>
    <d v="2024-10-13T00:00:00"/>
    <x v="9"/>
    <x v="1"/>
    <x v="1"/>
    <n v="26"/>
    <x v="0"/>
    <s v="*"/>
    <s v="*"/>
    <s v="*"/>
    <x v="5"/>
    <n v="360.36"/>
  </r>
  <r>
    <d v="2024-10-15T00:00:00"/>
    <x v="9"/>
    <x v="1"/>
    <x v="0"/>
    <n v="26"/>
    <x v="16"/>
    <s v="*"/>
    <s v="*"/>
    <s v="*"/>
    <x v="3"/>
    <n v="360.36"/>
  </r>
  <r>
    <d v="2024-10-18T00:00:00"/>
    <x v="9"/>
    <x v="1"/>
    <x v="1"/>
    <n v="27"/>
    <x v="0"/>
    <s v="*"/>
    <s v="*"/>
    <s v="*"/>
    <x v="4"/>
    <n v="374.21999999999997"/>
  </r>
  <r>
    <d v="2024-10-18T00:00:00"/>
    <x v="9"/>
    <x v="1"/>
    <x v="1"/>
    <n v="14"/>
    <x v="4"/>
    <s v="*"/>
    <s v="*"/>
    <s v="*"/>
    <x v="0"/>
    <n v="194.04"/>
  </r>
  <r>
    <d v="2024-10-22T00:00:00"/>
    <x v="9"/>
    <x v="1"/>
    <x v="0"/>
    <n v="26"/>
    <x v="21"/>
    <s v="*"/>
    <s v="*"/>
    <s v="*"/>
    <x v="1"/>
    <n v="360.36"/>
  </r>
  <r>
    <d v="2024-10-22T00:00:00"/>
    <x v="9"/>
    <x v="1"/>
    <x v="1"/>
    <n v="8"/>
    <x v="21"/>
    <s v="*"/>
    <s v="*"/>
    <s v="*"/>
    <x v="0"/>
    <n v="110.88"/>
  </r>
  <r>
    <d v="2024-10-25T00:00:00"/>
    <x v="9"/>
    <x v="1"/>
    <x v="1"/>
    <n v="9"/>
    <x v="3"/>
    <s v="*"/>
    <s v="*"/>
    <s v="*"/>
    <x v="0"/>
    <n v="124.74"/>
  </r>
  <r>
    <d v="2024-10-26T00:00:00"/>
    <x v="9"/>
    <x v="1"/>
    <x v="0"/>
    <n v="24"/>
    <x v="16"/>
    <s v="*"/>
    <s v="*"/>
    <s v="*"/>
    <x v="0"/>
    <n v="332.64"/>
  </r>
  <r>
    <d v="2024-10-27T00:00:00"/>
    <x v="9"/>
    <x v="1"/>
    <x v="0"/>
    <n v="24"/>
    <x v="24"/>
    <s v="*"/>
    <s v="*"/>
    <s v="*"/>
    <x v="0"/>
    <n v="332.64"/>
  </r>
  <r>
    <d v="2024-10-28T00:00:00"/>
    <x v="9"/>
    <x v="1"/>
    <x v="1"/>
    <n v="16"/>
    <x v="21"/>
    <s v="*"/>
    <s v="*"/>
    <s v="*"/>
    <x v="4"/>
    <n v="221.76"/>
  </r>
  <r>
    <d v="2024-10-30T00:00:00"/>
    <x v="9"/>
    <x v="1"/>
    <x v="1"/>
    <n v="26"/>
    <x v="26"/>
    <s v="*"/>
    <s v="*"/>
    <s v="*"/>
    <x v="4"/>
    <n v="360.36"/>
  </r>
  <r>
    <d v="2024-10-30T00:00:00"/>
    <x v="9"/>
    <x v="1"/>
    <x v="1"/>
    <n v="26"/>
    <x v="26"/>
    <s v="*"/>
    <s v="*"/>
    <s v="*"/>
    <x v="6"/>
    <n v="360.36"/>
  </r>
  <r>
    <d v="2025-10-30T00:00:00"/>
    <x v="9"/>
    <x v="2"/>
    <x v="1"/>
    <n v="34"/>
    <x v="21"/>
    <s v="*"/>
    <s v="*"/>
    <s v="*"/>
    <x v="5"/>
    <n v="471.24"/>
  </r>
  <r>
    <d v="2025-10-30T00:00:00"/>
    <x v="9"/>
    <x v="2"/>
    <x v="2"/>
    <n v="3"/>
    <x v="24"/>
    <s v="*"/>
    <s v="*"/>
    <s v="*"/>
    <x v="4"/>
    <n v="41.58"/>
  </r>
  <r>
    <d v="2025-10-30T00:00:00"/>
    <x v="9"/>
    <x v="2"/>
    <x v="0"/>
    <n v="5"/>
    <x v="24"/>
    <s v="*"/>
    <s v="*"/>
    <s v="*"/>
    <x v="5"/>
    <n v="69.3"/>
  </r>
  <r>
    <s v="30/10/2025"/>
    <x v="9"/>
    <x v="2"/>
    <x v="2"/>
    <n v="9"/>
    <x v="0"/>
    <s v="*"/>
    <s v="*"/>
    <s v="*"/>
    <x v="9"/>
    <n v="124.74"/>
  </r>
  <r>
    <s v="30/10/2025"/>
    <x v="9"/>
    <x v="2"/>
    <x v="1"/>
    <n v="9"/>
    <x v="10"/>
    <s v="*"/>
    <s v="*"/>
    <s v="*"/>
    <x v="2"/>
    <n v="124.74"/>
  </r>
  <r>
    <s v="30/10/2025"/>
    <x v="9"/>
    <x v="2"/>
    <x v="0"/>
    <n v="25"/>
    <x v="3"/>
    <s v="*"/>
    <s v="*"/>
    <s v="*"/>
    <x v="1"/>
    <n v="346.5"/>
  </r>
  <r>
    <s v="30/10/2025"/>
    <x v="9"/>
    <x v="2"/>
    <x v="1"/>
    <n v="2"/>
    <x v="24"/>
    <s v="*"/>
    <s v="*"/>
    <s v="*"/>
    <x v="1"/>
    <n v="27.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8AD369-0153-4805-B0E2-D67A79B96E01}"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9:B10"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axis="axisRow" showAll="0">
      <items count="7">
        <item x="1"/>
        <item h="1" x="0"/>
        <item h="1" m="1" x="3"/>
        <item h="1" m="1" x="4"/>
        <item h="1" m="1" x="5"/>
        <item h="1" x="2"/>
        <item t="default"/>
      </items>
    </pivotField>
    <pivotField dataField="1" showAll="0"/>
    <pivotField showAll="0"/>
    <pivotField showAll="0"/>
    <pivotField showAll="0"/>
    <pivotField showAll="0"/>
    <pivotField showAll="0"/>
    <pivotField numFmtId="164" showAll="0"/>
  </pivotFields>
  <rowFields count="1">
    <field x="3"/>
  </rowFields>
  <rowItems count="1">
    <i>
      <x/>
    </i>
  </rowItems>
  <colItems count="1">
    <i/>
  </colItems>
  <dataFields count="1">
    <dataField name="Sum of Quantidad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9AE887-63CB-4510-A4FC-348717FE3B72}" name="PivotTable14"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6">
  <location ref="Y4:Z10"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showAll="0">
      <items count="7">
        <item x="1"/>
        <item m="1" x="4"/>
        <item x="2"/>
        <item m="1" x="5"/>
        <item x="0"/>
        <item m="1" x="3"/>
        <item t="default"/>
      </items>
    </pivotField>
    <pivotField showAll="0"/>
    <pivotField showAll="0"/>
    <pivotField showAll="0"/>
    <pivotField showAll="0"/>
    <pivotField showAll="0"/>
    <pivotField axis="axisRow" dataField="1" showAll="0" measureFilter="1" sortType="descending">
      <items count="34">
        <item m="1" x="18"/>
        <item m="1" x="15"/>
        <item m="1" x="19"/>
        <item m="1" x="16"/>
        <item m="1" x="20"/>
        <item m="1" x="11"/>
        <item m="1" x="14"/>
        <item m="1" x="21"/>
        <item m="1" x="22"/>
        <item m="1" x="17"/>
        <item m="1" x="13"/>
        <item m="1" x="12"/>
        <item m="1" x="10"/>
        <item m="1" x="23"/>
        <item m="1" x="29"/>
        <item m="1" x="26"/>
        <item m="1" x="32"/>
        <item m="1" x="28"/>
        <item m="1" x="25"/>
        <item m="1" x="31"/>
        <item m="1" x="27"/>
        <item m="1" x="24"/>
        <item m="1" x="30"/>
        <item x="4"/>
        <item x="5"/>
        <item x="9"/>
        <item x="0"/>
        <item x="1"/>
        <item x="2"/>
        <item x="3"/>
        <item x="6"/>
        <item x="7"/>
        <item x="8"/>
        <item t="default"/>
      </items>
      <autoSortScope>
        <pivotArea dataOnly="0" outline="0" fieldPosition="0">
          <references count="1">
            <reference field="4294967294" count="1" selected="0">
              <x v="0"/>
            </reference>
          </references>
        </pivotArea>
      </autoSortScope>
    </pivotField>
    <pivotField numFmtId="164" showAll="0"/>
  </pivotFields>
  <rowFields count="1">
    <field x="9"/>
  </rowFields>
  <rowItems count="6">
    <i>
      <x v="29"/>
    </i>
    <i>
      <x v="26"/>
    </i>
    <i>
      <x v="24"/>
    </i>
    <i>
      <x v="27"/>
    </i>
    <i>
      <x v="28"/>
    </i>
    <i t="grand">
      <x/>
    </i>
  </rowItems>
  <colItems count="1">
    <i/>
  </colItems>
  <dataFields count="1">
    <dataField name="Count of Conferente" fld="9" subtotal="count"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263A88-C2AA-4E07-9380-C8085892FDC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G30:H38"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showAll="0">
      <items count="7">
        <item x="1"/>
        <item m="1" x="4"/>
        <item x="2"/>
        <item m="1" x="5"/>
        <item x="0"/>
        <item m="1" x="3"/>
        <item t="default"/>
      </items>
    </pivotField>
    <pivotField showAll="0"/>
    <pivotField axis="axisRow" showAll="0" measureFilter="1" sortType="ascending">
      <items count="70">
        <item m="1" x="38"/>
        <item m="1" x="34"/>
        <item m="1" x="29"/>
        <item m="1" x="31"/>
        <item m="1" x="40"/>
        <item m="1" x="36"/>
        <item m="1" x="39"/>
        <item m="1" x="41"/>
        <item m="1" x="28"/>
        <item m="1" x="37"/>
        <item m="1" x="35"/>
        <item m="1" x="32"/>
        <item m="1" x="27"/>
        <item m="1" x="33"/>
        <item m="1" x="30"/>
        <item m="1" x="56"/>
        <item m="1" x="60"/>
        <item m="1" x="59"/>
        <item m="1" x="62"/>
        <item m="1" x="67"/>
        <item m="1" x="57"/>
        <item m="1" x="61"/>
        <item m="1" x="63"/>
        <item m="1" x="68"/>
        <item m="1" x="65"/>
        <item m="1" x="42"/>
        <item m="1" x="43"/>
        <item m="1" x="44"/>
        <item m="1" x="45"/>
        <item m="1" x="46"/>
        <item m="1" x="47"/>
        <item m="1" x="66"/>
        <item m="1" x="48"/>
        <item m="1" x="49"/>
        <item m="1" x="50"/>
        <item m="1" x="51"/>
        <item m="1" x="52"/>
        <item m="1" x="58"/>
        <item m="1" x="53"/>
        <item m="1" x="64"/>
        <item m="1" x="54"/>
        <item x="25"/>
        <item m="1" x="55"/>
        <item x="24"/>
        <item x="0"/>
        <item x="1"/>
        <item x="2"/>
        <item x="3"/>
        <item x="4"/>
        <item x="5"/>
        <item x="6"/>
        <item x="7"/>
        <item x="8"/>
        <item x="9"/>
        <item x="10"/>
        <item x="11"/>
        <item x="12"/>
        <item x="13"/>
        <item x="14"/>
        <item x="15"/>
        <item x="16"/>
        <item x="17"/>
        <item x="18"/>
        <item x="19"/>
        <item x="20"/>
        <item x="21"/>
        <item x="22"/>
        <item x="23"/>
        <item x="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4" showAll="0"/>
  </pivotFields>
  <rowFields count="1">
    <field x="5"/>
  </rowFields>
  <rowItems count="8">
    <i>
      <x v="56"/>
    </i>
    <i>
      <x v="65"/>
    </i>
    <i>
      <x v="62"/>
    </i>
    <i>
      <x v="44"/>
    </i>
    <i>
      <x v="45"/>
    </i>
    <i>
      <x v="46"/>
    </i>
    <i>
      <x v="60"/>
    </i>
    <i>
      <x v="48"/>
    </i>
  </rowItems>
  <colItems count="1">
    <i/>
  </colItems>
  <dataFields count="1">
    <dataField name="Sum of Valor" fld="10" baseField="0" baseItem="0" numFmtId="44"/>
  </dataFields>
  <formats count="2">
    <format dxfId="1">
      <pivotArea collapsedLevelsAreSubtotals="1" fieldPosition="0">
        <references count="1">
          <reference field="5" count="0"/>
        </references>
      </pivotArea>
    </format>
    <format dxfId="0">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D6F26C-07BA-4D87-9807-00B94A2A4407}"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A27:B35"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showAll="0">
      <items count="7">
        <item x="1"/>
        <item m="1" x="4"/>
        <item x="2"/>
        <item m="1" x="5"/>
        <item x="0"/>
        <item m="1" x="3"/>
        <item t="default"/>
      </items>
    </pivotField>
    <pivotField dataField="1" showAll="0"/>
    <pivotField axis="axisRow" showAll="0" measureFilter="1" sortType="ascending">
      <items count="70">
        <item m="1" x="38"/>
        <item m="1" x="34"/>
        <item m="1" x="29"/>
        <item m="1" x="31"/>
        <item m="1" x="40"/>
        <item m="1" x="36"/>
        <item m="1" x="39"/>
        <item m="1" x="41"/>
        <item m="1" x="28"/>
        <item m="1" x="37"/>
        <item m="1" x="35"/>
        <item m="1" x="32"/>
        <item m="1" x="27"/>
        <item m="1" x="33"/>
        <item m="1" x="30"/>
        <item m="1" x="56"/>
        <item m="1" x="60"/>
        <item m="1" x="59"/>
        <item m="1" x="62"/>
        <item m="1" x="67"/>
        <item m="1" x="57"/>
        <item m="1" x="61"/>
        <item m="1" x="63"/>
        <item m="1" x="68"/>
        <item m="1" x="65"/>
        <item m="1" x="42"/>
        <item m="1" x="43"/>
        <item m="1" x="44"/>
        <item m="1" x="45"/>
        <item m="1" x="46"/>
        <item m="1" x="47"/>
        <item m="1" x="66"/>
        <item m="1" x="48"/>
        <item m="1" x="49"/>
        <item m="1" x="50"/>
        <item m="1" x="51"/>
        <item m="1" x="52"/>
        <item m="1" x="58"/>
        <item m="1" x="53"/>
        <item m="1" x="64"/>
        <item m="1" x="54"/>
        <item x="25"/>
        <item m="1" x="55"/>
        <item x="24"/>
        <item x="0"/>
        <item x="1"/>
        <item x="2"/>
        <item x="3"/>
        <item x="4"/>
        <item x="5"/>
        <item x="6"/>
        <item x="7"/>
        <item x="8"/>
        <item x="9"/>
        <item x="10"/>
        <item x="11"/>
        <item x="12"/>
        <item x="13"/>
        <item x="14"/>
        <item x="15"/>
        <item x="16"/>
        <item x="17"/>
        <item x="18"/>
        <item x="19"/>
        <item x="20"/>
        <item x="21"/>
        <item x="22"/>
        <item x="23"/>
        <item x="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64" showAll="0"/>
  </pivotFields>
  <rowFields count="1">
    <field x="5"/>
  </rowFields>
  <rowItems count="8">
    <i>
      <x v="47"/>
    </i>
    <i>
      <x v="51"/>
    </i>
    <i>
      <x v="62"/>
    </i>
    <i>
      <x v="44"/>
    </i>
    <i>
      <x v="45"/>
    </i>
    <i>
      <x v="60"/>
    </i>
    <i>
      <x v="46"/>
    </i>
    <i>
      <x v="48"/>
    </i>
  </rowItems>
  <colItems count="1">
    <i/>
  </colItems>
  <dataFields count="1">
    <dataField name="Sum of Quantidade" fld="4" baseField="0" baseItem="0"/>
  </dataFields>
  <formats count="1">
    <format dxfId="2">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2"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DD3DFB-11C9-4651-9087-36B0419902A9}"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1">
  <location ref="A57:B70" firstHeaderRow="1" firstDataRow="2" firstDataCol="1" rowPageCount="1" colPageCount="1"/>
  <pivotFields count="11">
    <pivotField showAll="0"/>
    <pivotField axis="axisRow" showAll="0">
      <items count="20">
        <item x="0"/>
        <item x="1"/>
        <item x="2"/>
        <item x="3"/>
        <item x="4"/>
        <item x="5"/>
        <item x="6"/>
        <item x="7"/>
        <item x="8"/>
        <item x="9"/>
        <item x="10"/>
        <item x="11"/>
        <item m="1" x="12"/>
        <item m="1" x="15"/>
        <item m="1" x="16"/>
        <item m="1" x="18"/>
        <item m="1" x="17"/>
        <item m="1" x="13"/>
        <item m="1" x="14"/>
        <item t="default"/>
      </items>
    </pivotField>
    <pivotField axis="axisPage" multipleItemSelectionAllowed="1" showAll="0">
      <items count="8">
        <item m="1" x="3"/>
        <item m="1" x="4"/>
        <item m="1" x="5"/>
        <item x="2"/>
        <item m="1" x="6"/>
        <item x="0"/>
        <item x="1"/>
        <item t="default"/>
      </items>
    </pivotField>
    <pivotField axis="axisCol" showAll="0">
      <items count="7">
        <item x="1"/>
        <item h="1" x="0"/>
        <item h="1" m="1" x="3"/>
        <item h="1" m="1" x="4"/>
        <item h="1" m="1" x="5"/>
        <item h="1" x="2"/>
        <item t="default"/>
      </items>
    </pivotField>
    <pivotField showAll="0"/>
    <pivotField showAll="0"/>
    <pivotField showAll="0"/>
    <pivotField showAll="0"/>
    <pivotField showAll="0"/>
    <pivotField showAll="0"/>
    <pivotField dataField="1" numFmtId="164" showAll="0"/>
  </pivotFields>
  <rowFields count="1">
    <field x="1"/>
  </rowFields>
  <rowItems count="12">
    <i>
      <x/>
    </i>
    <i>
      <x v="1"/>
    </i>
    <i>
      <x v="2"/>
    </i>
    <i>
      <x v="3"/>
    </i>
    <i>
      <x v="4"/>
    </i>
    <i>
      <x v="5"/>
    </i>
    <i>
      <x v="6"/>
    </i>
    <i>
      <x v="7"/>
    </i>
    <i>
      <x v="8"/>
    </i>
    <i>
      <x v="9"/>
    </i>
    <i>
      <x v="10"/>
    </i>
    <i>
      <x v="11"/>
    </i>
  </rowItems>
  <colFields count="1">
    <field x="3"/>
  </colFields>
  <colItems count="1">
    <i>
      <x/>
    </i>
  </colItems>
  <pageFields count="1">
    <pageField fld="2" hier="-1"/>
  </pageFields>
  <dataFields count="1">
    <dataField name="Sum of Valor" fld="10" baseField="0" baseItem="0" numFmtId="164"/>
  </dataFields>
  <formats count="1">
    <format dxfId="3">
      <pivotArea outline="0" collapsedLevelsAreSubtotals="1" fieldPosition="0"/>
    </format>
  </formats>
  <chartFormats count="2">
    <chartFormat chart="20" format="3" series="1">
      <pivotArea type="data" outline="0" fieldPosition="0">
        <references count="1">
          <reference field="4294967294" count="1" selected="0">
            <x v="0"/>
          </reference>
        </references>
      </pivotArea>
    </chartFormat>
    <chartFormat chart="20" format="4"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89C9DA9-C577-4324-90FB-27482605376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2">
  <location ref="A2:B3"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axis="axisRow" showAll="0">
      <items count="7">
        <item h="1" x="1"/>
        <item x="0"/>
        <item h="1" m="1" x="3"/>
        <item h="1" m="1" x="4"/>
        <item h="1" m="1" x="5"/>
        <item h="1" x="2"/>
        <item t="default"/>
      </items>
    </pivotField>
    <pivotField dataField="1" showAll="0"/>
    <pivotField showAll="0"/>
    <pivotField showAll="0"/>
    <pivotField showAll="0"/>
    <pivotField showAll="0"/>
    <pivotField showAll="0"/>
    <pivotField numFmtId="164" showAll="0"/>
  </pivotFields>
  <rowFields count="1">
    <field x="3"/>
  </rowFields>
  <rowItems count="1">
    <i>
      <x v="1"/>
    </i>
  </rowItems>
  <colItems count="1">
    <i/>
  </colItems>
  <dataFields count="1">
    <dataField name="Sum of Quantidad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F5EDF1-3C71-4D87-A771-594DC1AFBAF3}" name="PivotTable1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
  <location ref="N35:O38"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axis="axisRow" showAll="0">
      <items count="7">
        <item x="1"/>
        <item x="0"/>
        <item h="1" m="1" x="3"/>
        <item h="1" m="1" x="4"/>
        <item h="1" m="1" x="5"/>
        <item h="1" x="2"/>
        <item t="default"/>
      </items>
    </pivotField>
    <pivotField dataField="1" showAll="0"/>
    <pivotField showAll="0"/>
    <pivotField showAll="0"/>
    <pivotField showAll="0"/>
    <pivotField showAll="0"/>
    <pivotField showAll="0"/>
    <pivotField numFmtId="164" showAll="0"/>
  </pivotFields>
  <rowFields count="1">
    <field x="3"/>
  </rowFields>
  <rowItems count="3">
    <i>
      <x/>
    </i>
    <i>
      <x v="1"/>
    </i>
    <i t="grand">
      <x/>
    </i>
  </rowItems>
  <colItems count="1">
    <i/>
  </colItems>
  <dataFields count="1">
    <dataField name="Sum of Quantidad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4AFB78F-2E61-43A7-846E-D9028FEF91E5}"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42">
  <location ref="F107:G119" firstHeaderRow="1" firstDataRow="1" firstDataCol="1" rowPageCount="1" colPageCount="1"/>
  <pivotFields count="11">
    <pivotField showAll="0"/>
    <pivotField axis="axisRow" showAll="0">
      <items count="20">
        <item x="0"/>
        <item x="1"/>
        <item x="2"/>
        <item x="3"/>
        <item x="4"/>
        <item x="5"/>
        <item x="6"/>
        <item x="7"/>
        <item x="8"/>
        <item x="9"/>
        <item x="10"/>
        <item x="11"/>
        <item h="1" m="1" x="12"/>
        <item h="1" m="1" x="15"/>
        <item h="1" m="1" x="16"/>
        <item h="1" m="1" x="18"/>
        <item h="1" m="1" x="17"/>
        <item h="1" m="1" x="13"/>
        <item h="1" m="1" x="14"/>
        <item t="default"/>
      </items>
    </pivotField>
    <pivotField axis="axisPage" multipleItemSelectionAllowed="1" showAll="0">
      <items count="8">
        <item m="1" x="3"/>
        <item m="1" x="4"/>
        <item m="1" x="5"/>
        <item x="2"/>
        <item m="1" x="6"/>
        <item x="0"/>
        <item x="1"/>
        <item t="default"/>
      </items>
    </pivotField>
    <pivotField showAll="0">
      <items count="7">
        <item x="1"/>
        <item m="1" x="4"/>
        <item x="2"/>
        <item m="1" x="5"/>
        <item x="0"/>
        <item m="1" x="3"/>
        <item t="default"/>
      </items>
    </pivotField>
    <pivotField showAll="0"/>
    <pivotField showAll="0"/>
    <pivotField showAll="0"/>
    <pivotField showAll="0"/>
    <pivotField showAll="0"/>
    <pivotField showAll="0"/>
    <pivotField dataField="1" numFmtId="164" showAll="0"/>
  </pivotFields>
  <rowFields count="1">
    <field x="1"/>
  </rowFields>
  <rowItems count="12">
    <i>
      <x/>
    </i>
    <i>
      <x v="1"/>
    </i>
    <i>
      <x v="2"/>
    </i>
    <i>
      <x v="3"/>
    </i>
    <i>
      <x v="4"/>
    </i>
    <i>
      <x v="5"/>
    </i>
    <i>
      <x v="6"/>
    </i>
    <i>
      <x v="7"/>
    </i>
    <i>
      <x v="8"/>
    </i>
    <i>
      <x v="9"/>
    </i>
    <i>
      <x v="10"/>
    </i>
    <i>
      <x v="11"/>
    </i>
  </rowItems>
  <colItems count="1">
    <i/>
  </colItems>
  <pageFields count="1">
    <pageField fld="2" hier="-1"/>
  </pageFields>
  <dataFields count="1">
    <dataField name="Sum of Valor" fld="10" baseField="0" baseItem="0" numFmtId="44"/>
  </dataFields>
  <formats count="1">
    <format dxfId="4">
      <pivotArea outline="0" collapsedLevelsAreSubtotals="1" fieldPosition="0"/>
    </format>
  </formats>
  <chartFormats count="1">
    <chartFormat chart="4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51FE15D-1418-4EEB-9348-0774EB790CDA}" name="PivotTable10"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I2:I3" firstHeaderRow="1" firstDataRow="1" firstDataCol="0"/>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showAll="0">
      <items count="7">
        <item x="1"/>
        <item m="1" x="4"/>
        <item x="2"/>
        <item m="1" x="5"/>
        <item x="0"/>
        <item m="1" x="3"/>
        <item t="default"/>
      </items>
    </pivotField>
    <pivotField showAll="0"/>
    <pivotField showAll="0"/>
    <pivotField showAll="0"/>
    <pivotField showAll="0"/>
    <pivotField showAll="0"/>
    <pivotField showAll="0"/>
    <pivotField dataField="1" numFmtId="164" showAll="0"/>
  </pivotFields>
  <rowItems count="1">
    <i/>
  </rowItems>
  <colItems count="1">
    <i/>
  </colItems>
  <dataFields count="1">
    <dataField name="Sum of Valor" fld="10" baseField="0" baseItem="0" numFmtId="44"/>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636E46-DC33-4CFE-AA20-5488BFA5CC01}"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outline="1" outlineData="1" compactData="0" multipleFieldFilters="0" chartFormat="38">
  <location ref="L57:N69" firstHeaderRow="0" firstDataRow="1" firstDataCol="1"/>
  <pivotFields count="11">
    <pivotField compact="0" showAll="0" defaultSubtotal="0"/>
    <pivotField axis="axisRow" compact="0" showAll="0" defaultSubtotal="0">
      <items count="19">
        <item x="0"/>
        <item x="1"/>
        <item x="2"/>
        <item x="3"/>
        <item x="4"/>
        <item x="5"/>
        <item x="6"/>
        <item x="7"/>
        <item x="8"/>
        <item x="9"/>
        <item x="10"/>
        <item x="11"/>
        <item m="1" x="12"/>
        <item m="1" x="15"/>
        <item m="1" x="16"/>
        <item m="1" x="18"/>
        <item m="1" x="17"/>
        <item m="1" x="13"/>
        <item m="1" x="14"/>
      </items>
    </pivotField>
    <pivotField compact="0" multipleItemSelectionAllowed="1" showAll="0" defaultSubtotal="0">
      <items count="7">
        <item m="1" x="6"/>
        <item m="1" x="3"/>
        <item m="1" x="4"/>
        <item m="1" x="5"/>
        <item x="0"/>
        <item x="1"/>
        <item x="2"/>
      </items>
    </pivotField>
    <pivotField compact="0" showAll="0" defaultSubtotal="0">
      <items count="6">
        <item x="1"/>
        <item m="1" x="4"/>
        <item x="2"/>
        <item m="1" x="5"/>
        <item x="0"/>
        <item m="1" x="3"/>
      </items>
    </pivotField>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dataField="1" compact="0" numFmtId="164" showAll="0" defaultSubtotal="0"/>
  </pivotFields>
  <rowFields count="1">
    <field x="1"/>
  </rowFields>
  <rowItems count="12">
    <i>
      <x/>
    </i>
    <i>
      <x v="1"/>
    </i>
    <i>
      <x v="2"/>
    </i>
    <i>
      <x v="3"/>
    </i>
    <i>
      <x v="4"/>
    </i>
    <i>
      <x v="5"/>
    </i>
    <i>
      <x v="6"/>
    </i>
    <i>
      <x v="7"/>
    </i>
    <i>
      <x v="8"/>
    </i>
    <i>
      <x v="9"/>
    </i>
    <i>
      <x v="10"/>
    </i>
    <i>
      <x v="11"/>
    </i>
  </rowItems>
  <colFields count="1">
    <field x="-2"/>
  </colFields>
  <colItems count="2">
    <i>
      <x/>
    </i>
    <i i="1">
      <x v="1"/>
    </i>
  </colItems>
  <dataFields count="2">
    <dataField name="Sum of Valor" fld="10" baseField="0" baseItem="0" numFmtId="44"/>
    <dataField name="Sum of Valor2" fld="10" baseField="0" baseItem="0" numFmtId="44"/>
  </dataFields>
  <formats count="3">
    <format dxfId="8">
      <pivotArea outline="0" collapsedLevelsAreSubtotals="1" fieldPosition="0"/>
    </format>
    <format dxfId="7">
      <pivotArea outline="0" fieldPosition="0">
        <references count="1">
          <reference field="4294967294" count="1" selected="0">
            <x v="0"/>
          </reference>
        </references>
      </pivotArea>
    </format>
    <format dxfId="6">
      <pivotArea outline="0" fieldPosition="0">
        <references count="1">
          <reference field="4294967294" count="1" selected="0">
            <x v="1"/>
          </reference>
        </references>
      </pivotArea>
    </format>
  </formats>
  <chartFormats count="3">
    <chartFormat chart="10" format="3" series="1">
      <pivotArea type="data" outline="0" fieldPosition="0">
        <references count="1">
          <reference field="4294967294" count="1" selected="0">
            <x v="0"/>
          </reference>
        </references>
      </pivotArea>
    </chartFormat>
    <chartFormat chart="37" format="4"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2E984BF-5966-4996-8BB7-48EC63BC62E4}"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2">
  <location ref="M12:N13"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axis="axisRow" showAll="0">
      <items count="7">
        <item h="1" x="1"/>
        <item h="1" x="0"/>
        <item h="1" m="1" x="3"/>
        <item h="1" m="1" x="4"/>
        <item h="1" m="1" x="5"/>
        <item x="2"/>
        <item t="default"/>
      </items>
    </pivotField>
    <pivotField showAll="0"/>
    <pivotField showAll="0"/>
    <pivotField showAll="0"/>
    <pivotField showAll="0"/>
    <pivotField showAll="0"/>
    <pivotField showAll="0"/>
    <pivotField dataField="1" numFmtId="164" showAll="0"/>
  </pivotFields>
  <rowFields count="1">
    <field x="3"/>
  </rowFields>
  <rowItems count="1">
    <i>
      <x v="5"/>
    </i>
  </rowItems>
  <colItems count="1">
    <i/>
  </colItems>
  <dataFields count="1">
    <dataField name="Sum of Valor" fld="10" baseField="0" baseItem="0" numFmtId="44"/>
  </dataFields>
  <formats count="2">
    <format dxfId="10">
      <pivotArea collapsedLevelsAreSubtotals="1" fieldPosition="0">
        <references count="1">
          <reference field="3" count="0"/>
        </references>
      </pivotArea>
    </format>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C9B5F73-47E4-4517-B170-C61E04D0E112}" name="PivotTable18"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32">
  <location ref="Y96:Z99" firstHeaderRow="1" firstDataRow="2" firstDataCol="1" rowPageCount="1" colPageCount="1"/>
  <pivotFields count="11">
    <pivotField showAll="0"/>
    <pivotField axis="axisRow" showAll="0">
      <items count="20">
        <item x="0"/>
        <item x="1"/>
        <item x="2"/>
        <item x="3"/>
        <item x="4"/>
        <item x="5"/>
        <item x="6"/>
        <item x="7"/>
        <item x="8"/>
        <item x="9"/>
        <item x="10"/>
        <item x="11"/>
        <item m="1" x="12"/>
        <item m="1" x="15"/>
        <item m="1" x="16"/>
        <item m="1" x="18"/>
        <item m="1" x="17"/>
        <item m="1" x="13"/>
        <item m="1" x="14"/>
        <item t="default"/>
      </items>
    </pivotField>
    <pivotField axis="axisPage" multipleItemSelectionAllowed="1" showAll="0">
      <items count="8">
        <item m="1" x="3"/>
        <item m="1" x="4"/>
        <item m="1" x="5"/>
        <item x="2"/>
        <item m="1" x="6"/>
        <item x="0"/>
        <item x="1"/>
        <item t="default"/>
      </items>
    </pivotField>
    <pivotField axis="axisCol" showAll="0">
      <items count="7">
        <item h="1" x="1"/>
        <item h="1" x="0"/>
        <item h="1" m="1" x="3"/>
        <item h="1" m="1" x="4"/>
        <item h="1" m="1" x="5"/>
        <item x="2"/>
        <item t="default"/>
      </items>
    </pivotField>
    <pivotField showAll="0"/>
    <pivotField showAll="0"/>
    <pivotField showAll="0"/>
    <pivotField showAll="0"/>
    <pivotField showAll="0"/>
    <pivotField showAll="0"/>
    <pivotField dataField="1" numFmtId="164" showAll="0"/>
  </pivotFields>
  <rowFields count="1">
    <field x="1"/>
  </rowFields>
  <rowItems count="2">
    <i>
      <x v="8"/>
    </i>
    <i>
      <x v="9"/>
    </i>
  </rowItems>
  <colFields count="1">
    <field x="3"/>
  </colFields>
  <colItems count="1">
    <i>
      <x v="5"/>
    </i>
  </colItems>
  <pageFields count="1">
    <pageField fld="2" hier="-1"/>
  </pageFields>
  <dataFields count="1">
    <dataField name="Sum of Valor" fld="10" baseField="0" baseItem="0" numFmtId="44"/>
  </dataFields>
  <formats count="1">
    <format dxfId="11">
      <pivotArea outline="0" collapsedLevelsAreSubtotals="1" fieldPosition="0"/>
    </format>
  </formats>
  <chartFormats count="4">
    <chartFormat chart="17" format="0" series="1">
      <pivotArea type="data" outline="0" fieldPosition="0">
        <references count="2">
          <reference field="4294967294" count="1" selected="0">
            <x v="0"/>
          </reference>
          <reference field="3" count="1" selected="0">
            <x v="0"/>
          </reference>
        </references>
      </pivotArea>
    </chartFormat>
    <chartFormat chart="17"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5" format="3"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B920078-6142-4F29-AD9C-124C69D9848D}"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S6:T7"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axis="axisRow" showAll="0">
      <items count="7">
        <item x="1"/>
        <item h="1" x="0"/>
        <item h="1" m="1" x="3"/>
        <item h="1" m="1" x="4"/>
        <item h="1" m="1" x="5"/>
        <item h="1" x="2"/>
        <item t="default"/>
      </items>
    </pivotField>
    <pivotField showAll="0"/>
    <pivotField showAll="0"/>
    <pivotField showAll="0"/>
    <pivotField showAll="0"/>
    <pivotField showAll="0"/>
    <pivotField showAll="0"/>
    <pivotField dataField="1" numFmtId="164" showAll="0"/>
  </pivotFields>
  <rowFields count="1">
    <field x="3"/>
  </rowFields>
  <rowItems count="1">
    <i>
      <x/>
    </i>
  </rowItems>
  <colItems count="1">
    <i/>
  </colItems>
  <dataFields count="1">
    <dataField name="Sum of Valor" fld="10" baseField="0" baseItem="0"/>
  </dataFields>
  <formats count="1">
    <format dxfId="12">
      <pivotArea collapsedLevelsAreSubtotals="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8378344-C177-4BC8-A12E-3D968BC00C5C}" name="PivotTable16"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14:B15"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axis="axisRow" showAll="0">
      <items count="7">
        <item h="1" x="1"/>
        <item h="1" x="0"/>
        <item h="1" m="1" x="3"/>
        <item h="1" m="1" x="4"/>
        <item h="1" m="1" x="5"/>
        <item x="2"/>
        <item t="default"/>
      </items>
    </pivotField>
    <pivotField dataField="1" showAll="0"/>
    <pivotField showAll="0"/>
    <pivotField showAll="0"/>
    <pivotField showAll="0"/>
    <pivotField showAll="0"/>
    <pivotField showAll="0"/>
    <pivotField numFmtId="164" showAll="0"/>
  </pivotFields>
  <rowFields count="1">
    <field x="3"/>
  </rowFields>
  <rowItems count="1">
    <i>
      <x v="5"/>
    </i>
  </rowItems>
  <colItems count="1">
    <i/>
  </colItems>
  <dataFields count="1">
    <dataField name="Sum of Quantidad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F879FA9-EE3D-4409-A2B5-B2CC4A227464}"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35">
  <location ref="F59:G71" firstHeaderRow="1" firstDataRow="1" firstDataCol="1" rowPageCount="1" colPageCount="1"/>
  <pivotFields count="11">
    <pivotField showAll="0"/>
    <pivotField axis="axisRow" showAll="0">
      <items count="20">
        <item x="0"/>
        <item x="1"/>
        <item x="2"/>
        <item x="3"/>
        <item x="4"/>
        <item x="5"/>
        <item x="6"/>
        <item x="7"/>
        <item x="8"/>
        <item x="9"/>
        <item x="10"/>
        <item x="11"/>
        <item h="1" m="1" x="12"/>
        <item h="1" m="1" x="15"/>
        <item h="1" m="1" x="16"/>
        <item h="1" m="1" x="18"/>
        <item h="1" m="1" x="17"/>
        <item h="1" m="1" x="13"/>
        <item h="1" m="1" x="14"/>
        <item t="default"/>
      </items>
    </pivotField>
    <pivotField axis="axisPage" multipleItemSelectionAllowed="1" showAll="0">
      <items count="8">
        <item m="1" x="3"/>
        <item m="1" x="4"/>
        <item m="1" x="5"/>
        <item x="2"/>
        <item m="1" x="6"/>
        <item x="0"/>
        <item x="1"/>
        <item t="default"/>
      </items>
    </pivotField>
    <pivotField showAll="0"/>
    <pivotField dataField="1" showAll="0"/>
    <pivotField showAll="0"/>
    <pivotField showAll="0"/>
    <pivotField showAll="0"/>
    <pivotField showAll="0"/>
    <pivotField showAll="0"/>
    <pivotField numFmtId="164" showAll="0"/>
  </pivotFields>
  <rowFields count="1">
    <field x="1"/>
  </rowFields>
  <rowItems count="12">
    <i>
      <x/>
    </i>
    <i>
      <x v="1"/>
    </i>
    <i>
      <x v="2"/>
    </i>
    <i>
      <x v="3"/>
    </i>
    <i>
      <x v="4"/>
    </i>
    <i>
      <x v="5"/>
    </i>
    <i>
      <x v="6"/>
    </i>
    <i>
      <x v="7"/>
    </i>
    <i>
      <x v="8"/>
    </i>
    <i>
      <x v="9"/>
    </i>
    <i>
      <x v="10"/>
    </i>
    <i>
      <x v="11"/>
    </i>
  </rowItems>
  <colItems count="1">
    <i/>
  </colItems>
  <pageFields count="1">
    <pageField fld="2" hier="-1"/>
  </pageFields>
  <dataFields count="1">
    <dataField name="Sum of Quantidade" fld="4" baseField="0" baseItem="0"/>
  </dataFields>
  <formats count="1">
    <format dxfId="13">
      <pivotArea outline="0" collapsedLevelsAreSubtotals="1" fieldPosition="0"/>
    </format>
  </formats>
  <chartFormats count="1">
    <chartFormat chart="3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DDD2B47-932D-429F-AB83-0771A621EC5A}"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6">
  <location ref="N90:O103" firstHeaderRow="1" firstDataRow="2" firstDataCol="1" rowPageCount="1" colPageCount="1"/>
  <pivotFields count="11">
    <pivotField showAll="0"/>
    <pivotField axis="axisRow" showAll="0">
      <items count="20">
        <item x="0"/>
        <item x="1"/>
        <item x="2"/>
        <item x="3"/>
        <item x="4"/>
        <item x="5"/>
        <item x="6"/>
        <item x="7"/>
        <item x="8"/>
        <item x="9"/>
        <item x="10"/>
        <item x="11"/>
        <item m="1" x="12"/>
        <item m="1" x="15"/>
        <item m="1" x="16"/>
        <item m="1" x="18"/>
        <item m="1" x="17"/>
        <item m="1" x="13"/>
        <item m="1" x="14"/>
        <item t="default"/>
      </items>
    </pivotField>
    <pivotField axis="axisPage" multipleItemSelectionAllowed="1" showAll="0">
      <items count="8">
        <item m="1" x="3"/>
        <item m="1" x="4"/>
        <item m="1" x="5"/>
        <item x="2"/>
        <item m="1" x="6"/>
        <item x="0"/>
        <item x="1"/>
        <item t="default"/>
      </items>
    </pivotField>
    <pivotField axis="axisCol" showAll="0">
      <items count="7">
        <item h="1" x="1"/>
        <item x="0"/>
        <item h="1" m="1" x="3"/>
        <item h="1" m="1" x="4"/>
        <item h="1" m="1" x="5"/>
        <item h="1" x="2"/>
        <item t="default"/>
      </items>
    </pivotField>
    <pivotField showAll="0"/>
    <pivotField showAll="0"/>
    <pivotField showAll="0"/>
    <pivotField showAll="0"/>
    <pivotField showAll="0"/>
    <pivotField showAll="0"/>
    <pivotField dataField="1" numFmtId="164" showAll="0"/>
  </pivotFields>
  <rowFields count="1">
    <field x="1"/>
  </rowFields>
  <rowItems count="12">
    <i>
      <x/>
    </i>
    <i>
      <x v="1"/>
    </i>
    <i>
      <x v="2"/>
    </i>
    <i>
      <x v="3"/>
    </i>
    <i>
      <x v="4"/>
    </i>
    <i>
      <x v="5"/>
    </i>
    <i>
      <x v="6"/>
    </i>
    <i>
      <x v="7"/>
    </i>
    <i>
      <x v="8"/>
    </i>
    <i>
      <x v="9"/>
    </i>
    <i>
      <x v="10"/>
    </i>
    <i>
      <x v="11"/>
    </i>
  </rowItems>
  <colFields count="1">
    <field x="3"/>
  </colFields>
  <colItems count="1">
    <i>
      <x v="1"/>
    </i>
  </colItems>
  <pageFields count="1">
    <pageField fld="2" hier="-1"/>
  </pageFields>
  <dataFields count="1">
    <dataField name="Sum of Valor" fld="10" baseField="0" baseItem="0" numFmtId="164"/>
  </dataFields>
  <formats count="1">
    <format dxfId="14">
      <pivotArea outline="0" collapsedLevelsAreSubtotals="1" fieldPosition="0"/>
    </format>
  </formats>
  <chartFormats count="4">
    <chartFormat chart="17" format="0" series="1">
      <pivotArea type="data" outline="0" fieldPosition="0">
        <references count="2">
          <reference field="4294967294" count="1" selected="0">
            <x v="0"/>
          </reference>
          <reference field="3" count="1" selected="0">
            <x v="0"/>
          </reference>
        </references>
      </pivotArea>
    </chartFormat>
    <chartFormat chart="17"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5" format="3"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CBD4783-05E4-40E3-ACBC-F26FF5031B17}" name="PivotTable9"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F2:F3" firstHeaderRow="1" firstDataRow="1" firstDataCol="0"/>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showAll="0"/>
    <pivotField dataField="1" showAll="0"/>
    <pivotField showAll="0"/>
    <pivotField showAll="0"/>
    <pivotField showAll="0"/>
    <pivotField showAll="0"/>
    <pivotField showAll="0"/>
    <pivotField numFmtId="164" showAll="0"/>
  </pivotFields>
  <rowItems count="1">
    <i/>
  </rowItems>
  <colItems count="1">
    <i/>
  </colItems>
  <dataFields count="1">
    <dataField name="Sum of Quantidad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F88D329-98F5-48D7-B11C-E045283829F5}"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2">
  <location ref="M3:N4" firstHeaderRow="1" firstDataRow="1" firstDataCol="1"/>
  <pivotFields count="11">
    <pivotField showAll="0"/>
    <pivotField showAll="0">
      <items count="20">
        <item x="0"/>
        <item x="1"/>
        <item x="2"/>
        <item x="3"/>
        <item x="4"/>
        <item x="5"/>
        <item x="6"/>
        <item x="7"/>
        <item x="8"/>
        <item x="9"/>
        <item x="10"/>
        <item x="11"/>
        <item m="1" x="17"/>
        <item m="1" x="15"/>
        <item m="1" x="13"/>
        <item m="1" x="18"/>
        <item m="1" x="14"/>
        <item m="1" x="16"/>
        <item m="1" x="12"/>
        <item t="default"/>
      </items>
    </pivotField>
    <pivotField showAll="0">
      <items count="8">
        <item m="1" x="6"/>
        <item m="1" x="3"/>
        <item m="1" x="4"/>
        <item m="1" x="5"/>
        <item x="0"/>
        <item x="1"/>
        <item x="2"/>
        <item t="default"/>
      </items>
    </pivotField>
    <pivotField axis="axisRow" showAll="0">
      <items count="7">
        <item h="1" x="1"/>
        <item x="0"/>
        <item h="1" m="1" x="3"/>
        <item h="1" m="1" x="4"/>
        <item h="1" m="1" x="5"/>
        <item h="1" x="2"/>
        <item t="default"/>
      </items>
    </pivotField>
    <pivotField showAll="0"/>
    <pivotField showAll="0"/>
    <pivotField showAll="0"/>
    <pivotField showAll="0"/>
    <pivotField showAll="0"/>
    <pivotField showAll="0"/>
    <pivotField dataField="1" numFmtId="164" showAll="0"/>
  </pivotFields>
  <rowFields count="1">
    <field x="3"/>
  </rowFields>
  <rowItems count="1">
    <i>
      <x v="1"/>
    </i>
  </rowItems>
  <colItems count="1">
    <i/>
  </colItems>
  <dataFields count="1">
    <dataField name="Sum of Valor" fld="10" baseField="0" baseItem="0"/>
  </dataFields>
  <formats count="1">
    <format dxfId="15">
      <pivotArea collapsedLevelsAreSubtotals="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ês1" xr10:uid="{29548314-CED4-449B-92C4-07ADFF30D72A}" sourceName="Mês">
  <pivotTables>
    <pivotTable tabId="5" name="PivotTable7"/>
    <pivotTable tabId="5" name="PivotTable10"/>
    <pivotTable tabId="5" name="PivotTable12"/>
    <pivotTable tabId="5" name="PivotTable13"/>
    <pivotTable tabId="5" name="PivotTable14"/>
    <pivotTable tabId="5" name="PivotTable8"/>
    <pivotTable tabId="5" name="PivotTable9"/>
    <pivotTable tabId="5" name="PivotTable3"/>
    <pivotTable tabId="5" name="PivotTable4"/>
    <pivotTable tabId="5" name="PivotTable5"/>
    <pivotTable tabId="5" name="PivotTable16"/>
    <pivotTable tabId="5" name="PivotTable17"/>
  </pivotTables>
  <data>
    <tabular pivotCacheId="849126230">
      <items count="19">
        <i x="0" s="1"/>
        <i x="1" s="1"/>
        <i x="2" s="1"/>
        <i x="3" s="1"/>
        <i x="4" s="1"/>
        <i x="5" s="1"/>
        <i x="6" s="1"/>
        <i x="7" s="1"/>
        <i x="8" s="1"/>
        <i x="9" s="1"/>
        <i x="10" s="1"/>
        <i x="11" s="1"/>
        <i x="17" s="1" nd="1"/>
        <i x="15" s="1" nd="1"/>
        <i x="13" s="1" nd="1"/>
        <i x="18" s="1" nd="1"/>
        <i x="14" s="1" nd="1"/>
        <i x="16" s="1" nd="1"/>
        <i x="1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1" xr10:uid="{B20D0212-C2C3-4562-9D71-188091E2FA36}" sourceName="Ano">
  <pivotTables>
    <pivotTable tabId="5" name="PivotTable7"/>
    <pivotTable tabId="5" name="PivotTable10"/>
    <pivotTable tabId="5" name="PivotTable11"/>
    <pivotTable tabId="5" name="PivotTable12"/>
    <pivotTable tabId="5" name="PivotTable13"/>
    <pivotTable tabId="5" name="PivotTable14"/>
    <pivotTable tabId="5" name="PivotTable8"/>
    <pivotTable tabId="5" name="PivotTable9"/>
    <pivotTable tabId="5" name="PivotTable1"/>
    <pivotTable tabId="5" name="PivotTable2"/>
    <pivotTable tabId="5" name="PivotTable3"/>
    <pivotTable tabId="5" name="PivotTable4"/>
    <pivotTable tabId="5" name="PivotTable5"/>
    <pivotTable tabId="5" name="PivotTable6"/>
    <pivotTable tabId="5" name="PivotTable15"/>
    <pivotTable tabId="5" name="PivotTable16"/>
    <pivotTable tabId="5" name="PivotTable17"/>
    <pivotTable tabId="5" name="PivotTable18"/>
  </pivotTables>
  <data>
    <tabular pivotCacheId="849126230">
      <items count="7">
        <i x="0" s="1"/>
        <i x="1" s="1"/>
        <i x="2" s="1"/>
        <i x="6" s="1" nd="1"/>
        <i x="3" s="1" nd="1"/>
        <i x="4"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sição_Cobrar" xr10:uid="{15856FDE-DFEE-4454-9F9E-2A214EBAF842}" sourceName="Reposição/Cobrar">
  <pivotTables>
    <pivotTable tabId="5" name="PivotTable5"/>
    <pivotTable tabId="5" name="PivotTable10"/>
    <pivotTable tabId="5" name="PivotTable14"/>
    <pivotTable tabId="5" name="PivotTable15"/>
    <pivotTable tabId="5" name="PivotTable11"/>
    <pivotTable tabId="5" name="PivotTable12"/>
  </pivotTables>
  <data>
    <tabular pivotCacheId="849126230">
      <items count="6">
        <i x="1" s="1"/>
        <i x="2" s="1"/>
        <i x="0" s="1"/>
        <i x="4" s="1" nd="1"/>
        <i x="5"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ês" xr10:uid="{D6583ECA-8BA2-442E-A638-B955D7D8C717}" sourceName="Mês">
  <extLst>
    <x:ext xmlns:x15="http://schemas.microsoft.com/office/spreadsheetml/2010/11/main" uri="{2F2917AC-EB37-4324-AD4E-5DD8C200BD13}">
      <x15:tableSlicerCache tableId="6" column="2"/>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 xr10:uid="{2FA58845-CB4E-4987-BA5F-EEF148440B99}" sourceName="Ano">
  <extLst>
    <x:ext xmlns:x15="http://schemas.microsoft.com/office/spreadsheetml/2010/11/main" uri="{2F2917AC-EB37-4324-AD4E-5DD8C200BD13}">
      <x15:tableSlicerCache tableId="6" column="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ês 2" xr10:uid="{F830FF0B-84FF-4170-9617-EF188B19A4D9}" cache="Slicer_Mês1" caption="Mês" showCaption="0" style="Slicer Style 2" rowHeight="241300"/>
  <slicer name="Ano 2" xr10:uid="{21DC9000-6288-4700-953C-A1AB18C47747}" cache="Slicer_Ano1" caption="Ano" showCaption="0" style="Slicer Style 2" rowHeight="241300"/>
  <slicer name="Reposição/Cobrar 1" xr10:uid="{ADAE10F3-99C8-4A7C-848E-456A78D79022}" cache="Slicer_Reposição_Cobrar" caption="Reposição/Cobrar" showCaption="0" style="Slicer Style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ês" xr10:uid="{56D056E1-DB01-420C-9287-774F64FF26BB}" cache="Slicer_Mês" caption="Mês" columnCount="7" style="Slicer Style 1" rowHeight="241300"/>
  <slicer name="Ano" xr10:uid="{97DC5D8C-1C0F-402B-8791-10AB5F7DD363}" cache="Slicer_Ano" caption="Ano" columnCount="2"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33B1AB5-2871-4534-BFB8-302C5AE2E1D0}" name="Table7" displayName="Table7" ref="B2:L906" totalsRowShown="0" headerRowDxfId="33" headerRowBorderDxfId="32" tableBorderDxfId="31" headerRowCellStyle="Normal" dataCellStyle="Normal">
  <autoFilter ref="B2:L906" xr:uid="{CB58609A-5A31-4AA2-81A7-A432AC6259E1}"/>
  <tableColumns count="11">
    <tableColumn id="1" xr3:uid="{E0A63C2A-CE73-46D0-A990-85FF99B0DD7A}" name="Data" dataDxfId="30" dataCellStyle="Normal"/>
    <tableColumn id="2" xr3:uid="{3E466552-48DD-4972-9350-B26C703F714E}" name="Mês" dataDxfId="29" dataCellStyle="Normal"/>
    <tableColumn id="3" xr3:uid="{9E64F40B-256B-431E-AFA2-47E2078A445D}" name="Ano" dataDxfId="28" dataCellStyle="Normal"/>
    <tableColumn id="4" xr3:uid="{D5CDBEFF-C7F8-4EC5-B37F-5AB46102491B}" name="Reposição/Cobrar" dataDxfId="27" dataCellStyle="Normal"/>
    <tableColumn id="5" xr3:uid="{F63944EF-AE3E-4045-9898-3FB5CEB6F097}" name="Quantidade" dataDxfId="26" dataCellStyle="Normal"/>
    <tableColumn id="6" xr3:uid="{87FB42B4-7B73-4881-BBDF-15AC8ECFCDEB}" name="Transportadora" dataDxfId="25" dataCellStyle="Normal"/>
    <tableColumn id="7" xr3:uid="{61587FDF-0ECA-4763-9B7F-74362103328B}" name="Placa Cavalo" dataDxfId="24" dataCellStyle="Normal"/>
    <tableColumn id="8" xr3:uid="{07114943-F181-4C63-A2DB-7C2F47DA4BF6}" name="Placa Carreta" dataDxfId="23" dataCellStyle="Normal"/>
    <tableColumn id="9" xr3:uid="{43034CA5-4FD9-4772-9220-EF5E854476E5}" name="Nome  Motorista" dataDxfId="22" dataCellStyle="Normal"/>
    <tableColumn id="10" xr3:uid="{94D23595-3092-4533-B470-BDAE629F1C67}" name="Conferente" dataDxfId="21" dataCellStyle="Normal"/>
    <tableColumn id="11" xr3:uid="{6257C9DA-E2AB-435D-8CC4-8A983748ACBC}" name="Valor" dataDxfId="20">
      <calculatedColumnFormula>F3*13.86</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E3DB6D-516C-4676-998F-0C4798A4D2BD}" name="Table3" displayName="Table3" ref="C1:E30" totalsRowShown="0" headerRowDxfId="19">
  <autoFilter ref="C1:E30" xr:uid="{6A879503-223D-41F8-98F9-0EEC286801A8}"/>
  <sortState xmlns:xlrd2="http://schemas.microsoft.com/office/spreadsheetml/2017/richdata2" ref="C2:E30">
    <sortCondition ref="C1:C30"/>
  </sortState>
  <tableColumns count="3">
    <tableColumn id="1" xr3:uid="{621C350A-EC2C-4D24-B34E-26CD706C74B4}" name="Transportadora" dataDxfId="18"/>
    <tableColumn id="2" xr3:uid="{ABA531CE-7026-4C4C-A958-48B72EEACC93}" name="Vendor" dataDxfId="17"/>
    <tableColumn id="3" xr3:uid="{BB700B45-417C-41AF-A6DC-087627B11687}" name="Código" dataDxfId="16"/>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D323902-27CC-456C-BBFB-050A5AAF94E6}" name="Table2" displayName="Table2" ref="G1:G12" totalsRowShown="0">
  <autoFilter ref="G1:G12" xr:uid="{16F09A79-7007-4C3E-AA1C-3DAB1794142D}"/>
  <tableColumns count="1">
    <tableColumn id="1" xr3:uid="{FE0F6C7A-252D-445C-820F-CDC0630C7611}" name="Conferentes"/>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8B3064-ACE8-443E-9CA6-C79DA0DFC565}" name="Table5" displayName="Table5" ref="G15:G17" totalsRowShown="0">
  <autoFilter ref="G15:G17" xr:uid="{FA27ED22-549A-46F3-80F3-66228AF25C11}"/>
  <tableColumns count="1">
    <tableColumn id="1" xr3:uid="{A78CBCD4-F0B3-478A-8D3C-4C556FF80D37}" name="Statu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A1A42F5-8B9A-4BEE-9D8F-9396C33890A1}" name="Table6" displayName="Table6" ref="I1:I13" totalsRowShown="0">
  <autoFilter ref="I1:I13" xr:uid="{FAEEAFEB-6485-4666-92B3-A3B56BF0262B}"/>
  <tableColumns count="1">
    <tableColumn id="1" xr3:uid="{0332B1E7-CE5E-429E-BFE9-6F50509AD015}" name="Mê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rinterSettings" Target="../printerSettings/printerSettings5.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05FDB-7344-4A3C-BC80-9F85FC15E517}">
  <sheetPr codeName="Sheet6"/>
  <dimension ref="A1:Q75"/>
  <sheetViews>
    <sheetView showGridLines="0" zoomScale="90" zoomScaleNormal="90" workbookViewId="0">
      <selection activeCell="P1" sqref="P1"/>
    </sheetView>
  </sheetViews>
  <sheetFormatPr defaultColWidth="0" defaultRowHeight="15" zeroHeight="1" x14ac:dyDescent="0.25"/>
  <cols>
    <col min="1" max="3" width="8.7109375" style="37" customWidth="1"/>
    <col min="4" max="14" width="8.7109375" customWidth="1"/>
    <col min="15" max="17" width="8.7109375" style="37" customWidth="1"/>
    <col min="18"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sheetData>
  <sheetProtection sheet="1" objects="1" scenarios="1"/>
  <pageMargins left="0.7" right="0.7" top="0.75" bottom="0.75" header="0.3" footer="0.3"/>
  <pageSetup paperSize="9" orientation="portrait" r:id="rId1"/>
  <headerFooter>
    <oddFooter>&amp;R&amp;1#&amp;"Calibri"&amp;8&amp;K737373General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0B4D0-252A-4A2D-90EA-C6E27DC766A8}">
  <sheetPr codeName="Sheet4"/>
  <dimension ref="A1:AL50"/>
  <sheetViews>
    <sheetView showGridLines="0" zoomScale="40" zoomScaleNormal="40" workbookViewId="0">
      <selection activeCell="C43" sqref="C43"/>
    </sheetView>
  </sheetViews>
  <sheetFormatPr defaultColWidth="0" defaultRowHeight="15" zeroHeight="1" x14ac:dyDescent="0.25"/>
  <cols>
    <col min="1" max="38" width="8.7109375" customWidth="1"/>
    <col min="39"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sheetData>
  <pageMargins left="0.7" right="0.7" top="0.75" bottom="0.75" header="0.3" footer="0.3"/>
  <pageSetup paperSize="9" orientation="portrait" r:id="rId1"/>
  <headerFooter>
    <oddFooter>&amp;R&amp;1#&amp;"Calibri"&amp;8&amp;K737373General</oddFooter>
  </headerFooter>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937"/>
  <sheetViews>
    <sheetView showGridLines="0" tabSelected="1" zoomScale="55" zoomScaleNormal="55" workbookViewId="0">
      <pane ySplit="2" topLeftCell="A884" activePane="bottomLeft" state="frozen"/>
      <selection pane="bottomLeft" activeCell="B895" sqref="B895"/>
    </sheetView>
  </sheetViews>
  <sheetFormatPr defaultColWidth="0" defaultRowHeight="15" x14ac:dyDescent="0.25"/>
  <cols>
    <col min="1" max="1" width="8.7109375" customWidth="1"/>
    <col min="2" max="2" width="15" style="45" customWidth="1"/>
    <col min="3" max="4" width="15" style="25" customWidth="1"/>
    <col min="5" max="5" width="24.28515625" style="25" bestFit="1" customWidth="1"/>
    <col min="6" max="6" width="18.42578125" style="25" bestFit="1" customWidth="1"/>
    <col min="7" max="7" width="21.85546875" style="25" bestFit="1" customWidth="1"/>
    <col min="8" max="8" width="18.85546875" style="25" bestFit="1" customWidth="1"/>
    <col min="9" max="9" width="19.7109375" style="25" bestFit="1" customWidth="1"/>
    <col min="10" max="10" width="33.85546875" style="25" bestFit="1" customWidth="1"/>
    <col min="11" max="11" width="25.85546875" style="25" bestFit="1" customWidth="1"/>
    <col min="12" max="12" width="15.42578125" style="21" customWidth="1"/>
    <col min="13" max="13" width="5" customWidth="1"/>
    <col min="14" max="14" width="11.5703125" customWidth="1"/>
    <col min="15" max="15" width="8.7109375" customWidth="1"/>
    <col min="16" max="16" width="3.28515625" customWidth="1"/>
    <col min="17" max="17" width="12.140625" bestFit="1" customWidth="1"/>
    <col min="18" max="18" width="8.140625" bestFit="1" customWidth="1"/>
    <col min="19" max="19" width="4" customWidth="1"/>
    <col min="20" max="20" width="14.5703125" bestFit="1" customWidth="1"/>
    <col min="21" max="21" width="8.7109375" customWidth="1"/>
    <col min="22" max="22" width="15.5703125" bestFit="1" customWidth="1"/>
    <col min="23" max="23" width="8.7109375" customWidth="1"/>
    <col min="24" max="24" width="24.5703125" bestFit="1" customWidth="1"/>
    <col min="25" max="25" width="10.28515625" bestFit="1" customWidth="1"/>
    <col min="26" max="26" width="17.42578125" customWidth="1"/>
    <col min="27" max="27" width="9.140625" hidden="1" customWidth="1"/>
    <col min="28" max="16384" width="8.7109375" hidden="1"/>
  </cols>
  <sheetData>
    <row r="1" spans="1:27" ht="111.95" customHeight="1" x14ac:dyDescent="0.25">
      <c r="A1" s="36"/>
      <c r="B1" s="47"/>
      <c r="C1" s="34"/>
      <c r="D1" s="34"/>
      <c r="E1" s="34"/>
      <c r="F1" s="34"/>
      <c r="G1" s="34"/>
      <c r="H1" s="34"/>
      <c r="I1" s="34"/>
      <c r="J1" s="34"/>
      <c r="K1" s="34"/>
      <c r="L1" s="35"/>
      <c r="M1" s="36"/>
      <c r="N1" s="33"/>
      <c r="O1" s="33"/>
      <c r="P1" s="33"/>
      <c r="Q1" s="33"/>
      <c r="R1" s="33"/>
      <c r="S1" s="33"/>
      <c r="T1" s="33"/>
    </row>
    <row r="2" spans="1:27" ht="30" x14ac:dyDescent="0.25">
      <c r="B2" s="48" t="s">
        <v>0</v>
      </c>
      <c r="C2" s="30" t="s">
        <v>31</v>
      </c>
      <c r="D2" s="30" t="s">
        <v>32</v>
      </c>
      <c r="E2" s="30" t="s">
        <v>1</v>
      </c>
      <c r="F2" s="30" t="s">
        <v>2</v>
      </c>
      <c r="G2" s="30" t="s">
        <v>3</v>
      </c>
      <c r="H2" s="30" t="s">
        <v>4</v>
      </c>
      <c r="I2" s="30" t="s">
        <v>5</v>
      </c>
      <c r="J2" s="30" t="s">
        <v>6</v>
      </c>
      <c r="K2" s="30" t="s">
        <v>7</v>
      </c>
      <c r="L2" s="30" t="s">
        <v>8</v>
      </c>
      <c r="N2" s="4" t="s">
        <v>9</v>
      </c>
      <c r="O2" s="6">
        <v>480</v>
      </c>
      <c r="P2" s="6"/>
      <c r="Q2" s="5" t="s">
        <v>10</v>
      </c>
      <c r="R2" s="7">
        <f>SUM(F3:F906)</f>
        <v>10965</v>
      </c>
      <c r="S2" s="7"/>
      <c r="T2" s="8" t="s">
        <v>11</v>
      </c>
      <c r="U2" s="11">
        <v>1920</v>
      </c>
      <c r="V2" s="9" t="s">
        <v>12</v>
      </c>
      <c r="W2" s="10">
        <v>1000</v>
      </c>
      <c r="X2" s="9" t="s">
        <v>13</v>
      </c>
      <c r="Y2" s="20">
        <v>45516</v>
      </c>
      <c r="Z2" s="22"/>
      <c r="AA2" s="23"/>
    </row>
    <row r="3" spans="1:27" x14ac:dyDescent="0.25">
      <c r="B3" s="27">
        <v>44928</v>
      </c>
      <c r="C3" s="28" t="s">
        <v>33</v>
      </c>
      <c r="D3" s="28">
        <v>2023</v>
      </c>
      <c r="E3" s="28" t="s">
        <v>15</v>
      </c>
      <c r="F3" s="28">
        <v>5</v>
      </c>
      <c r="G3" s="28" t="s">
        <v>94</v>
      </c>
      <c r="H3" s="28" t="s">
        <v>16</v>
      </c>
      <c r="I3" s="28" t="s">
        <v>16</v>
      </c>
      <c r="J3" s="28" t="s">
        <v>16</v>
      </c>
      <c r="K3" s="28" t="s">
        <v>75</v>
      </c>
      <c r="L3" s="29">
        <f t="shared" ref="L3:L32" si="0">F3*8.65</f>
        <v>43.25</v>
      </c>
    </row>
    <row r="4" spans="1:27" x14ac:dyDescent="0.25">
      <c r="B4" s="27">
        <v>44928</v>
      </c>
      <c r="C4" s="28" t="s">
        <v>33</v>
      </c>
      <c r="D4" s="28">
        <v>2023</v>
      </c>
      <c r="E4" s="28" t="s">
        <v>14</v>
      </c>
      <c r="F4" s="28">
        <v>24</v>
      </c>
      <c r="G4" s="28" t="s">
        <v>108</v>
      </c>
      <c r="H4" s="28" t="s">
        <v>16</v>
      </c>
      <c r="I4" s="28" t="s">
        <v>16</v>
      </c>
      <c r="J4" s="28" t="s">
        <v>16</v>
      </c>
      <c r="K4" s="28" t="s">
        <v>79</v>
      </c>
      <c r="L4" s="29">
        <f t="shared" si="0"/>
        <v>207.60000000000002</v>
      </c>
    </row>
    <row r="5" spans="1:27" x14ac:dyDescent="0.25">
      <c r="B5" s="27">
        <v>44930</v>
      </c>
      <c r="C5" s="28" t="s">
        <v>33</v>
      </c>
      <c r="D5" s="28">
        <v>2023</v>
      </c>
      <c r="E5" s="28" t="s">
        <v>15</v>
      </c>
      <c r="F5" s="28">
        <v>2</v>
      </c>
      <c r="G5" s="28" t="s">
        <v>108</v>
      </c>
      <c r="H5" s="28" t="s">
        <v>16</v>
      </c>
      <c r="I5" s="28" t="s">
        <v>16</v>
      </c>
      <c r="J5" s="28" t="s">
        <v>16</v>
      </c>
      <c r="K5" s="28" t="s">
        <v>75</v>
      </c>
      <c r="L5" s="29">
        <f t="shared" si="0"/>
        <v>17.3</v>
      </c>
    </row>
    <row r="6" spans="1:27" x14ac:dyDescent="0.25">
      <c r="B6" s="27">
        <v>44931</v>
      </c>
      <c r="C6" s="28" t="s">
        <v>33</v>
      </c>
      <c r="D6" s="28">
        <v>2023</v>
      </c>
      <c r="E6" s="28" t="s">
        <v>15</v>
      </c>
      <c r="F6" s="28">
        <v>4</v>
      </c>
      <c r="G6" s="28" t="s">
        <v>111</v>
      </c>
      <c r="H6" s="28" t="s">
        <v>16</v>
      </c>
      <c r="I6" s="28" t="s">
        <v>16</v>
      </c>
      <c r="J6" s="28" t="s">
        <v>16</v>
      </c>
      <c r="K6" s="28" t="s">
        <v>79</v>
      </c>
      <c r="L6" s="29">
        <f t="shared" si="0"/>
        <v>34.6</v>
      </c>
    </row>
    <row r="7" spans="1:27" x14ac:dyDescent="0.25">
      <c r="B7" s="27">
        <v>44931</v>
      </c>
      <c r="C7" s="28" t="s">
        <v>33</v>
      </c>
      <c r="D7" s="28">
        <v>2023</v>
      </c>
      <c r="E7" s="28" t="s">
        <v>14</v>
      </c>
      <c r="F7" s="28">
        <v>1</v>
      </c>
      <c r="G7" s="28" t="s">
        <v>111</v>
      </c>
      <c r="H7" s="28" t="s">
        <v>16</v>
      </c>
      <c r="I7" s="28" t="s">
        <v>16</v>
      </c>
      <c r="J7" s="28" t="s">
        <v>16</v>
      </c>
      <c r="K7" s="28" t="s">
        <v>79</v>
      </c>
      <c r="L7" s="29">
        <f t="shared" si="0"/>
        <v>8.65</v>
      </c>
    </row>
    <row r="8" spans="1:27" x14ac:dyDescent="0.25">
      <c r="B8" s="27">
        <v>44937</v>
      </c>
      <c r="C8" s="28" t="s">
        <v>33</v>
      </c>
      <c r="D8" s="28">
        <v>2023</v>
      </c>
      <c r="E8" s="28" t="s">
        <v>14</v>
      </c>
      <c r="F8" s="28">
        <v>11</v>
      </c>
      <c r="G8" s="28" t="s">
        <v>94</v>
      </c>
      <c r="H8" s="28" t="s">
        <v>16</v>
      </c>
      <c r="I8" s="28" t="s">
        <v>16</v>
      </c>
      <c r="J8" s="28" t="s">
        <v>16</v>
      </c>
      <c r="K8" s="28" t="s">
        <v>79</v>
      </c>
      <c r="L8" s="29">
        <f t="shared" si="0"/>
        <v>95.15</v>
      </c>
    </row>
    <row r="9" spans="1:27" x14ac:dyDescent="0.25">
      <c r="B9" s="27">
        <v>44937</v>
      </c>
      <c r="C9" s="28" t="s">
        <v>33</v>
      </c>
      <c r="D9" s="28">
        <v>2023</v>
      </c>
      <c r="E9" s="28" t="s">
        <v>14</v>
      </c>
      <c r="F9" s="28">
        <v>2</v>
      </c>
      <c r="G9" s="28" t="s">
        <v>99</v>
      </c>
      <c r="H9" s="28" t="s">
        <v>16</v>
      </c>
      <c r="I9" s="28" t="s">
        <v>16</v>
      </c>
      <c r="J9" s="28" t="s">
        <v>16</v>
      </c>
      <c r="K9" s="28" t="s">
        <v>79</v>
      </c>
      <c r="L9" s="29">
        <f t="shared" si="0"/>
        <v>17.3</v>
      </c>
    </row>
    <row r="10" spans="1:27" x14ac:dyDescent="0.25">
      <c r="B10" s="27">
        <v>44941</v>
      </c>
      <c r="C10" s="28" t="s">
        <v>33</v>
      </c>
      <c r="D10" s="28">
        <v>2023</v>
      </c>
      <c r="E10" s="28" t="s">
        <v>14</v>
      </c>
      <c r="F10" s="28">
        <v>26</v>
      </c>
      <c r="G10" s="28" t="s">
        <v>93</v>
      </c>
      <c r="H10" s="28" t="s">
        <v>16</v>
      </c>
      <c r="I10" s="28" t="s">
        <v>16</v>
      </c>
      <c r="J10" s="28" t="s">
        <v>16</v>
      </c>
      <c r="K10" s="28" t="s">
        <v>83</v>
      </c>
      <c r="L10" s="29">
        <f t="shared" si="0"/>
        <v>224.9</v>
      </c>
    </row>
    <row r="11" spans="1:27" x14ac:dyDescent="0.25">
      <c r="B11" s="27">
        <v>44941</v>
      </c>
      <c r="C11" s="28" t="s">
        <v>33</v>
      </c>
      <c r="D11" s="28">
        <v>2023</v>
      </c>
      <c r="E11" s="28" t="s">
        <v>14</v>
      </c>
      <c r="F11" s="28">
        <v>2</v>
      </c>
      <c r="G11" s="28" t="s">
        <v>111</v>
      </c>
      <c r="H11" s="28" t="s">
        <v>16</v>
      </c>
      <c r="I11" s="28" t="s">
        <v>16</v>
      </c>
      <c r="J11" s="28" t="s">
        <v>16</v>
      </c>
      <c r="K11" s="28" t="s">
        <v>78</v>
      </c>
      <c r="L11" s="29">
        <f t="shared" si="0"/>
        <v>17.3</v>
      </c>
    </row>
    <row r="12" spans="1:27" x14ac:dyDescent="0.25">
      <c r="B12" s="27">
        <v>44943</v>
      </c>
      <c r="C12" s="28" t="s">
        <v>33</v>
      </c>
      <c r="D12" s="28">
        <v>2023</v>
      </c>
      <c r="E12" s="28" t="s">
        <v>14</v>
      </c>
      <c r="F12" s="28">
        <v>3</v>
      </c>
      <c r="G12" s="28" t="s">
        <v>94</v>
      </c>
      <c r="H12" s="28" t="s">
        <v>16</v>
      </c>
      <c r="I12" s="28" t="s">
        <v>16</v>
      </c>
      <c r="J12" s="28" t="s">
        <v>16</v>
      </c>
      <c r="K12" s="28" t="s">
        <v>79</v>
      </c>
      <c r="L12" s="29">
        <f t="shared" si="0"/>
        <v>25.950000000000003</v>
      </c>
    </row>
    <row r="13" spans="1:27" x14ac:dyDescent="0.25">
      <c r="B13" s="27">
        <v>44948</v>
      </c>
      <c r="C13" s="28" t="s">
        <v>33</v>
      </c>
      <c r="D13" s="28">
        <v>2023</v>
      </c>
      <c r="E13" s="28" t="s">
        <v>14</v>
      </c>
      <c r="F13" s="28">
        <v>26</v>
      </c>
      <c r="G13" s="28" t="s">
        <v>93</v>
      </c>
      <c r="H13" s="28" t="s">
        <v>16</v>
      </c>
      <c r="I13" s="28" t="s">
        <v>16</v>
      </c>
      <c r="J13" s="28" t="s">
        <v>16</v>
      </c>
      <c r="K13" s="28" t="s">
        <v>75</v>
      </c>
      <c r="L13" s="29">
        <f t="shared" si="0"/>
        <v>224.9</v>
      </c>
    </row>
    <row r="14" spans="1:27" x14ac:dyDescent="0.25">
      <c r="B14" s="27">
        <v>44948</v>
      </c>
      <c r="C14" s="28" t="s">
        <v>33</v>
      </c>
      <c r="D14" s="28">
        <v>2023</v>
      </c>
      <c r="E14" s="28" t="s">
        <v>15</v>
      </c>
      <c r="F14" s="28">
        <v>5</v>
      </c>
      <c r="G14" s="28" t="s">
        <v>93</v>
      </c>
      <c r="H14" s="28" t="s">
        <v>16</v>
      </c>
      <c r="I14" s="28" t="s">
        <v>16</v>
      </c>
      <c r="J14" s="28" t="s">
        <v>16</v>
      </c>
      <c r="K14" s="28" t="s">
        <v>75</v>
      </c>
      <c r="L14" s="29">
        <f t="shared" si="0"/>
        <v>43.25</v>
      </c>
    </row>
    <row r="15" spans="1:27" x14ac:dyDescent="0.25">
      <c r="B15" s="27">
        <v>44949</v>
      </c>
      <c r="C15" s="28" t="s">
        <v>33</v>
      </c>
      <c r="D15" s="28">
        <v>2023</v>
      </c>
      <c r="E15" s="28" t="s">
        <v>14</v>
      </c>
      <c r="F15" s="28">
        <v>6</v>
      </c>
      <c r="G15" s="28" t="s">
        <v>85</v>
      </c>
      <c r="H15" s="28" t="s">
        <v>16</v>
      </c>
      <c r="I15" s="28" t="s">
        <v>16</v>
      </c>
      <c r="J15" s="28" t="s">
        <v>16</v>
      </c>
      <c r="K15" s="28" t="s">
        <v>78</v>
      </c>
      <c r="L15" s="29">
        <f t="shared" si="0"/>
        <v>51.900000000000006</v>
      </c>
    </row>
    <row r="16" spans="1:27" x14ac:dyDescent="0.25">
      <c r="B16" s="27">
        <v>44949</v>
      </c>
      <c r="C16" s="28" t="s">
        <v>33</v>
      </c>
      <c r="D16" s="28">
        <v>2023</v>
      </c>
      <c r="E16" s="28" t="s">
        <v>15</v>
      </c>
      <c r="F16" s="28">
        <v>2</v>
      </c>
      <c r="G16" s="28" t="s">
        <v>85</v>
      </c>
      <c r="H16" s="28" t="s">
        <v>16</v>
      </c>
      <c r="I16" s="28" t="s">
        <v>16</v>
      </c>
      <c r="J16" s="28" t="s">
        <v>16</v>
      </c>
      <c r="K16" s="28" t="s">
        <v>78</v>
      </c>
      <c r="L16" s="29">
        <f t="shared" si="0"/>
        <v>17.3</v>
      </c>
    </row>
    <row r="17" spans="2:12" x14ac:dyDescent="0.25">
      <c r="B17" s="27">
        <v>44949</v>
      </c>
      <c r="C17" s="28" t="s">
        <v>33</v>
      </c>
      <c r="D17" s="28">
        <v>2023</v>
      </c>
      <c r="E17" s="28" t="s">
        <v>14</v>
      </c>
      <c r="F17" s="28">
        <v>13</v>
      </c>
      <c r="G17" s="28" t="s">
        <v>111</v>
      </c>
      <c r="H17" s="28" t="s">
        <v>16</v>
      </c>
      <c r="I17" s="28" t="s">
        <v>16</v>
      </c>
      <c r="J17" s="28" t="s">
        <v>16</v>
      </c>
      <c r="K17" s="28" t="s">
        <v>78</v>
      </c>
      <c r="L17" s="29">
        <f t="shared" si="0"/>
        <v>112.45</v>
      </c>
    </row>
    <row r="18" spans="2:12" x14ac:dyDescent="0.25">
      <c r="B18" s="27">
        <v>44950</v>
      </c>
      <c r="C18" s="28" t="s">
        <v>33</v>
      </c>
      <c r="D18" s="28">
        <v>2023</v>
      </c>
      <c r="E18" s="28" t="s">
        <v>14</v>
      </c>
      <c r="F18" s="28">
        <v>24</v>
      </c>
      <c r="G18" s="28" t="s">
        <v>84</v>
      </c>
      <c r="H18" s="28" t="s">
        <v>16</v>
      </c>
      <c r="I18" s="28" t="s">
        <v>16</v>
      </c>
      <c r="J18" s="28" t="s">
        <v>16</v>
      </c>
      <c r="K18" s="28" t="s">
        <v>74</v>
      </c>
      <c r="L18" s="29">
        <f t="shared" si="0"/>
        <v>207.60000000000002</v>
      </c>
    </row>
    <row r="19" spans="2:12" x14ac:dyDescent="0.25">
      <c r="B19" s="27">
        <v>44950</v>
      </c>
      <c r="C19" s="28" t="s">
        <v>33</v>
      </c>
      <c r="D19" s="28">
        <v>2023</v>
      </c>
      <c r="E19" s="28" t="s">
        <v>14</v>
      </c>
      <c r="F19" s="28">
        <v>24</v>
      </c>
      <c r="G19" s="28" t="s">
        <v>84</v>
      </c>
      <c r="H19" s="28" t="s">
        <v>16</v>
      </c>
      <c r="I19" s="28" t="s">
        <v>16</v>
      </c>
      <c r="J19" s="28" t="s">
        <v>16</v>
      </c>
      <c r="K19" s="28" t="s">
        <v>74</v>
      </c>
      <c r="L19" s="29">
        <f t="shared" si="0"/>
        <v>207.60000000000002</v>
      </c>
    </row>
    <row r="20" spans="2:12" x14ac:dyDescent="0.25">
      <c r="B20" s="27">
        <v>44950</v>
      </c>
      <c r="C20" s="28" t="s">
        <v>33</v>
      </c>
      <c r="D20" s="28">
        <v>2023</v>
      </c>
      <c r="E20" s="28" t="s">
        <v>14</v>
      </c>
      <c r="F20" s="28">
        <v>26</v>
      </c>
      <c r="G20" s="28" t="s">
        <v>84</v>
      </c>
      <c r="H20" s="28" t="s">
        <v>16</v>
      </c>
      <c r="I20" s="28" t="s">
        <v>16</v>
      </c>
      <c r="J20" s="28" t="s">
        <v>16</v>
      </c>
      <c r="K20" s="28" t="s">
        <v>74</v>
      </c>
      <c r="L20" s="29">
        <f t="shared" si="0"/>
        <v>224.9</v>
      </c>
    </row>
    <row r="21" spans="2:12" x14ac:dyDescent="0.25">
      <c r="B21" s="27">
        <v>44952</v>
      </c>
      <c r="C21" s="28" t="s">
        <v>33</v>
      </c>
      <c r="D21" s="28">
        <v>2023</v>
      </c>
      <c r="E21" s="28" t="s">
        <v>15</v>
      </c>
      <c r="F21" s="28">
        <v>3</v>
      </c>
      <c r="G21" s="28" t="s">
        <v>111</v>
      </c>
      <c r="H21" s="28" t="s">
        <v>16</v>
      </c>
      <c r="I21" s="28" t="s">
        <v>16</v>
      </c>
      <c r="J21" s="28" t="s">
        <v>16</v>
      </c>
      <c r="K21" s="28" t="s">
        <v>79</v>
      </c>
      <c r="L21" s="29">
        <f t="shared" si="0"/>
        <v>25.950000000000003</v>
      </c>
    </row>
    <row r="22" spans="2:12" x14ac:dyDescent="0.25">
      <c r="B22" s="27">
        <v>44952</v>
      </c>
      <c r="C22" s="28" t="s">
        <v>33</v>
      </c>
      <c r="D22" s="28">
        <v>2023</v>
      </c>
      <c r="E22" s="28" t="s">
        <v>14</v>
      </c>
      <c r="F22" s="28">
        <v>1</v>
      </c>
      <c r="G22" s="28" t="s">
        <v>111</v>
      </c>
      <c r="H22" s="28" t="s">
        <v>16</v>
      </c>
      <c r="I22" s="28" t="s">
        <v>16</v>
      </c>
      <c r="J22" s="28" t="s">
        <v>16</v>
      </c>
      <c r="K22" s="28" t="s">
        <v>79</v>
      </c>
      <c r="L22" s="29">
        <f t="shared" si="0"/>
        <v>8.65</v>
      </c>
    </row>
    <row r="23" spans="2:12" x14ac:dyDescent="0.25">
      <c r="B23" s="27">
        <v>44957</v>
      </c>
      <c r="C23" s="28" t="s">
        <v>33</v>
      </c>
      <c r="D23" s="28">
        <v>2023</v>
      </c>
      <c r="E23" s="28" t="s">
        <v>15</v>
      </c>
      <c r="F23" s="28">
        <v>4</v>
      </c>
      <c r="G23" s="28" t="s">
        <v>111</v>
      </c>
      <c r="H23" s="28" t="s">
        <v>16</v>
      </c>
      <c r="I23" s="28" t="s">
        <v>16</v>
      </c>
      <c r="J23" s="28" t="s">
        <v>16</v>
      </c>
      <c r="K23" s="28" t="s">
        <v>74</v>
      </c>
      <c r="L23" s="29">
        <f t="shared" si="0"/>
        <v>34.6</v>
      </c>
    </row>
    <row r="24" spans="2:12" x14ac:dyDescent="0.25">
      <c r="B24" s="27">
        <v>44957</v>
      </c>
      <c r="C24" s="28" t="s">
        <v>33</v>
      </c>
      <c r="D24" s="28">
        <v>2023</v>
      </c>
      <c r="E24" s="28" t="s">
        <v>15</v>
      </c>
      <c r="F24" s="28">
        <v>2</v>
      </c>
      <c r="G24" s="28" t="s">
        <v>99</v>
      </c>
      <c r="H24" s="28" t="s">
        <v>16</v>
      </c>
      <c r="I24" s="28" t="s">
        <v>16</v>
      </c>
      <c r="J24" s="28" t="s">
        <v>16</v>
      </c>
      <c r="K24" s="28" t="s">
        <v>74</v>
      </c>
      <c r="L24" s="29">
        <f t="shared" si="0"/>
        <v>17.3</v>
      </c>
    </row>
    <row r="25" spans="2:12" x14ac:dyDescent="0.25">
      <c r="B25" s="27">
        <v>44957</v>
      </c>
      <c r="C25" s="28" t="s">
        <v>33</v>
      </c>
      <c r="D25" s="28">
        <v>2023</v>
      </c>
      <c r="E25" s="28" t="s">
        <v>15</v>
      </c>
      <c r="F25" s="28">
        <v>1</v>
      </c>
      <c r="G25" s="28" t="s">
        <v>99</v>
      </c>
      <c r="H25" s="28" t="s">
        <v>16</v>
      </c>
      <c r="I25" s="28" t="s">
        <v>16</v>
      </c>
      <c r="J25" s="28" t="s">
        <v>16</v>
      </c>
      <c r="K25" s="28" t="s">
        <v>78</v>
      </c>
      <c r="L25" s="29">
        <f t="shared" si="0"/>
        <v>8.65</v>
      </c>
    </row>
    <row r="26" spans="2:12" x14ac:dyDescent="0.25">
      <c r="B26" s="27">
        <v>44957</v>
      </c>
      <c r="C26" s="28" t="s">
        <v>33</v>
      </c>
      <c r="D26" s="28">
        <v>2023</v>
      </c>
      <c r="E26" s="28" t="s">
        <v>14</v>
      </c>
      <c r="F26" s="28">
        <v>4</v>
      </c>
      <c r="G26" s="28" t="s">
        <v>99</v>
      </c>
      <c r="H26" s="28" t="s">
        <v>16</v>
      </c>
      <c r="I26" s="28" t="s">
        <v>16</v>
      </c>
      <c r="J26" s="28" t="s">
        <v>16</v>
      </c>
      <c r="K26" s="28" t="s">
        <v>78</v>
      </c>
      <c r="L26" s="29">
        <f t="shared" si="0"/>
        <v>34.6</v>
      </c>
    </row>
    <row r="27" spans="2:12" x14ac:dyDescent="0.25">
      <c r="B27" s="27">
        <v>44957</v>
      </c>
      <c r="C27" s="28" t="s">
        <v>33</v>
      </c>
      <c r="D27" s="28">
        <v>2023</v>
      </c>
      <c r="E27" s="28" t="s">
        <v>14</v>
      </c>
      <c r="F27" s="28">
        <v>3</v>
      </c>
      <c r="G27" s="28" t="s">
        <v>94</v>
      </c>
      <c r="H27" s="28" t="s">
        <v>16</v>
      </c>
      <c r="I27" s="28" t="s">
        <v>16</v>
      </c>
      <c r="J27" s="28" t="s">
        <v>16</v>
      </c>
      <c r="K27" s="28" t="s">
        <v>79</v>
      </c>
      <c r="L27" s="29">
        <f t="shared" si="0"/>
        <v>25.950000000000003</v>
      </c>
    </row>
    <row r="28" spans="2:12" x14ac:dyDescent="0.25">
      <c r="B28" s="27">
        <v>44959</v>
      </c>
      <c r="C28" s="28" t="s">
        <v>35</v>
      </c>
      <c r="D28" s="28">
        <v>2023</v>
      </c>
      <c r="E28" s="28" t="s">
        <v>14</v>
      </c>
      <c r="F28" s="28">
        <v>9</v>
      </c>
      <c r="G28" s="28" t="s">
        <v>111</v>
      </c>
      <c r="H28" s="28" t="s">
        <v>16</v>
      </c>
      <c r="I28" s="28" t="s">
        <v>16</v>
      </c>
      <c r="J28" s="28" t="s">
        <v>16</v>
      </c>
      <c r="K28" s="28" t="s">
        <v>78</v>
      </c>
      <c r="L28" s="29">
        <f t="shared" si="0"/>
        <v>77.850000000000009</v>
      </c>
    </row>
    <row r="29" spans="2:12" x14ac:dyDescent="0.25">
      <c r="B29" s="27">
        <v>44959</v>
      </c>
      <c r="C29" s="28" t="s">
        <v>35</v>
      </c>
      <c r="D29" s="28">
        <v>2023</v>
      </c>
      <c r="E29" s="28" t="s">
        <v>14</v>
      </c>
      <c r="F29" s="28">
        <v>11</v>
      </c>
      <c r="G29" s="28" t="s">
        <v>111</v>
      </c>
      <c r="H29" s="28" t="s">
        <v>16</v>
      </c>
      <c r="I29" s="28" t="s">
        <v>16</v>
      </c>
      <c r="J29" s="28" t="s">
        <v>16</v>
      </c>
      <c r="K29" s="28" t="s">
        <v>78</v>
      </c>
      <c r="L29" s="29">
        <f t="shared" si="0"/>
        <v>95.15</v>
      </c>
    </row>
    <row r="30" spans="2:12" x14ac:dyDescent="0.25">
      <c r="B30" s="27">
        <v>44961</v>
      </c>
      <c r="C30" s="28" t="s">
        <v>35</v>
      </c>
      <c r="D30" s="28">
        <v>2023</v>
      </c>
      <c r="E30" s="28" t="s">
        <v>14</v>
      </c>
      <c r="F30" s="28">
        <v>24</v>
      </c>
      <c r="G30" s="28" t="s">
        <v>84</v>
      </c>
      <c r="H30" s="28" t="s">
        <v>16</v>
      </c>
      <c r="I30" s="28" t="s">
        <v>16</v>
      </c>
      <c r="J30" s="28" t="s">
        <v>16</v>
      </c>
      <c r="K30" s="28" t="s">
        <v>76</v>
      </c>
      <c r="L30" s="29">
        <f t="shared" si="0"/>
        <v>207.60000000000002</v>
      </c>
    </row>
    <row r="31" spans="2:12" x14ac:dyDescent="0.25">
      <c r="B31" s="27">
        <v>44961</v>
      </c>
      <c r="C31" s="28" t="s">
        <v>35</v>
      </c>
      <c r="D31" s="28">
        <v>2023</v>
      </c>
      <c r="E31" s="28" t="s">
        <v>14</v>
      </c>
      <c r="F31" s="28">
        <v>24</v>
      </c>
      <c r="G31" s="28" t="s">
        <v>84</v>
      </c>
      <c r="H31" s="28" t="s">
        <v>16</v>
      </c>
      <c r="I31" s="28" t="s">
        <v>16</v>
      </c>
      <c r="J31" s="28" t="s">
        <v>16</v>
      </c>
      <c r="K31" s="28" t="s">
        <v>76</v>
      </c>
      <c r="L31" s="29">
        <f t="shared" si="0"/>
        <v>207.60000000000002</v>
      </c>
    </row>
    <row r="32" spans="2:12" x14ac:dyDescent="0.25">
      <c r="B32" s="27">
        <v>44962</v>
      </c>
      <c r="C32" s="28" t="s">
        <v>35</v>
      </c>
      <c r="D32" s="28">
        <v>2023</v>
      </c>
      <c r="E32" s="28" t="s">
        <v>14</v>
      </c>
      <c r="F32" s="28">
        <v>24</v>
      </c>
      <c r="G32" s="28" t="s">
        <v>84</v>
      </c>
      <c r="H32" s="28" t="s">
        <v>16</v>
      </c>
      <c r="I32" s="28" t="s">
        <v>16</v>
      </c>
      <c r="J32" s="28" t="s">
        <v>16</v>
      </c>
      <c r="K32" s="28" t="s">
        <v>83</v>
      </c>
      <c r="L32" s="29">
        <f t="shared" si="0"/>
        <v>207.60000000000002</v>
      </c>
    </row>
    <row r="33" spans="1:13" x14ac:dyDescent="0.25">
      <c r="B33" s="27">
        <v>44962</v>
      </c>
      <c r="C33" s="28" t="s">
        <v>35</v>
      </c>
      <c r="D33" s="28">
        <v>2023</v>
      </c>
      <c r="E33" s="28" t="s">
        <v>14</v>
      </c>
      <c r="F33" s="28">
        <v>26</v>
      </c>
      <c r="G33" s="28" t="s">
        <v>99</v>
      </c>
      <c r="H33" s="28" t="s">
        <v>16</v>
      </c>
      <c r="I33" s="28" t="s">
        <v>16</v>
      </c>
      <c r="J33" s="28" t="s">
        <v>16</v>
      </c>
      <c r="K33" s="28" t="s">
        <v>75</v>
      </c>
      <c r="L33" s="29">
        <f t="shared" ref="L33:L53" si="1">F33*8.65</f>
        <v>224.9</v>
      </c>
    </row>
    <row r="34" spans="1:13" x14ac:dyDescent="0.25">
      <c r="B34" s="27">
        <v>44966</v>
      </c>
      <c r="C34" s="28" t="s">
        <v>35</v>
      </c>
      <c r="D34" s="28">
        <v>2023</v>
      </c>
      <c r="E34" s="28" t="s">
        <v>14</v>
      </c>
      <c r="F34" s="28">
        <v>12</v>
      </c>
      <c r="G34" s="28" t="s">
        <v>108</v>
      </c>
      <c r="H34" s="28" t="s">
        <v>16</v>
      </c>
      <c r="I34" s="28" t="s">
        <v>16</v>
      </c>
      <c r="J34" s="28" t="s">
        <v>16</v>
      </c>
      <c r="K34" s="28" t="s">
        <v>75</v>
      </c>
      <c r="L34" s="29">
        <f t="shared" si="1"/>
        <v>103.80000000000001</v>
      </c>
    </row>
    <row r="35" spans="1:13" x14ac:dyDescent="0.25">
      <c r="B35" s="27">
        <v>44968</v>
      </c>
      <c r="C35" s="28" t="s">
        <v>35</v>
      </c>
      <c r="D35" s="28">
        <v>2023</v>
      </c>
      <c r="E35" s="28" t="s">
        <v>15</v>
      </c>
      <c r="F35" s="28">
        <v>4</v>
      </c>
      <c r="G35" s="28" t="s">
        <v>111</v>
      </c>
      <c r="H35" s="28" t="s">
        <v>16</v>
      </c>
      <c r="I35" s="28" t="s">
        <v>16</v>
      </c>
      <c r="J35" s="28" t="s">
        <v>16</v>
      </c>
      <c r="K35" s="28" t="s">
        <v>79</v>
      </c>
      <c r="L35" s="29">
        <f t="shared" si="1"/>
        <v>34.6</v>
      </c>
    </row>
    <row r="36" spans="1:13" x14ac:dyDescent="0.25">
      <c r="B36" s="27">
        <v>44968</v>
      </c>
      <c r="C36" s="28" t="s">
        <v>35</v>
      </c>
      <c r="D36" s="28">
        <v>2023</v>
      </c>
      <c r="E36" s="28" t="s">
        <v>15</v>
      </c>
      <c r="F36" s="28">
        <v>3</v>
      </c>
      <c r="G36" s="28" t="s">
        <v>93</v>
      </c>
      <c r="H36" s="28" t="s">
        <v>16</v>
      </c>
      <c r="I36" s="28" t="s">
        <v>16</v>
      </c>
      <c r="J36" s="28" t="s">
        <v>16</v>
      </c>
      <c r="K36" s="28" t="s">
        <v>79</v>
      </c>
      <c r="L36" s="29">
        <f t="shared" si="1"/>
        <v>25.950000000000003</v>
      </c>
    </row>
    <row r="37" spans="1:13" x14ac:dyDescent="0.25">
      <c r="B37" s="27">
        <v>44968</v>
      </c>
      <c r="C37" s="28" t="s">
        <v>35</v>
      </c>
      <c r="D37" s="28">
        <v>2023</v>
      </c>
      <c r="E37" s="28" t="s">
        <v>14</v>
      </c>
      <c r="F37" s="28">
        <v>26</v>
      </c>
      <c r="G37" s="28" t="s">
        <v>99</v>
      </c>
      <c r="H37" s="28" t="s">
        <v>16</v>
      </c>
      <c r="I37" s="28" t="s">
        <v>16</v>
      </c>
      <c r="J37" s="28" t="s">
        <v>16</v>
      </c>
      <c r="K37" s="28" t="s">
        <v>75</v>
      </c>
      <c r="L37" s="29">
        <f t="shared" si="1"/>
        <v>224.9</v>
      </c>
    </row>
    <row r="38" spans="1:13" x14ac:dyDescent="0.25">
      <c r="B38" s="27">
        <v>44969</v>
      </c>
      <c r="C38" s="28" t="s">
        <v>35</v>
      </c>
      <c r="D38" s="28">
        <v>2023</v>
      </c>
      <c r="E38" s="28" t="s">
        <v>15</v>
      </c>
      <c r="F38" s="28">
        <v>8</v>
      </c>
      <c r="G38" s="28" t="s">
        <v>111</v>
      </c>
      <c r="H38" s="28" t="s">
        <v>16</v>
      </c>
      <c r="I38" s="28" t="s">
        <v>16</v>
      </c>
      <c r="J38" s="28" t="s">
        <v>16</v>
      </c>
      <c r="K38" s="28" t="s">
        <v>76</v>
      </c>
      <c r="L38" s="29">
        <f t="shared" si="1"/>
        <v>69.2</v>
      </c>
    </row>
    <row r="39" spans="1:13" s="14" customFormat="1" x14ac:dyDescent="0.25">
      <c r="A39"/>
      <c r="B39" s="27">
        <v>44970</v>
      </c>
      <c r="C39" s="28" t="s">
        <v>35</v>
      </c>
      <c r="D39" s="28">
        <v>2023</v>
      </c>
      <c r="E39" s="28" t="s">
        <v>14</v>
      </c>
      <c r="F39" s="28">
        <v>1</v>
      </c>
      <c r="G39" s="28" t="s">
        <v>99</v>
      </c>
      <c r="H39" s="28" t="s">
        <v>16</v>
      </c>
      <c r="I39" s="28" t="s">
        <v>16</v>
      </c>
      <c r="J39" s="28" t="s">
        <v>16</v>
      </c>
      <c r="K39" s="28" t="s">
        <v>83</v>
      </c>
      <c r="L39" s="29">
        <f t="shared" si="1"/>
        <v>8.65</v>
      </c>
      <c r="M39"/>
    </row>
    <row r="40" spans="1:13" x14ac:dyDescent="0.25">
      <c r="B40" s="27">
        <v>44972</v>
      </c>
      <c r="C40" s="28" t="s">
        <v>35</v>
      </c>
      <c r="D40" s="28">
        <v>2023</v>
      </c>
      <c r="E40" s="28" t="s">
        <v>15</v>
      </c>
      <c r="F40" s="28">
        <v>4</v>
      </c>
      <c r="G40" s="28" t="s">
        <v>111</v>
      </c>
      <c r="H40" s="28" t="s">
        <v>16</v>
      </c>
      <c r="I40" s="28" t="s">
        <v>16</v>
      </c>
      <c r="J40" s="28" t="s">
        <v>16</v>
      </c>
      <c r="K40" s="28" t="s">
        <v>76</v>
      </c>
      <c r="L40" s="29">
        <f t="shared" si="1"/>
        <v>34.6</v>
      </c>
    </row>
    <row r="41" spans="1:13" x14ac:dyDescent="0.25">
      <c r="B41" s="27">
        <v>44973</v>
      </c>
      <c r="C41" s="28" t="s">
        <v>35</v>
      </c>
      <c r="D41" s="28">
        <v>2023</v>
      </c>
      <c r="E41" s="28" t="s">
        <v>15</v>
      </c>
      <c r="F41" s="28">
        <v>4</v>
      </c>
      <c r="G41" s="28" t="s">
        <v>111</v>
      </c>
      <c r="H41" s="28" t="s">
        <v>16</v>
      </c>
      <c r="I41" s="28" t="s">
        <v>16</v>
      </c>
      <c r="J41" s="28" t="s">
        <v>16</v>
      </c>
      <c r="K41" s="28" t="s">
        <v>83</v>
      </c>
      <c r="L41" s="29">
        <f t="shared" si="1"/>
        <v>34.6</v>
      </c>
    </row>
    <row r="42" spans="1:13" x14ac:dyDescent="0.25">
      <c r="B42" s="27">
        <v>44976</v>
      </c>
      <c r="C42" s="28" t="s">
        <v>35</v>
      </c>
      <c r="D42" s="28">
        <v>2023</v>
      </c>
      <c r="E42" s="28" t="s">
        <v>14</v>
      </c>
      <c r="F42" s="28">
        <v>1</v>
      </c>
      <c r="G42" s="28" t="s">
        <v>111</v>
      </c>
      <c r="H42" s="28" t="s">
        <v>16</v>
      </c>
      <c r="I42" s="28" t="s">
        <v>16</v>
      </c>
      <c r="J42" s="28" t="s">
        <v>16</v>
      </c>
      <c r="K42" s="28" t="s">
        <v>79</v>
      </c>
      <c r="L42" s="29">
        <f t="shared" si="1"/>
        <v>8.65</v>
      </c>
    </row>
    <row r="43" spans="1:13" x14ac:dyDescent="0.25">
      <c r="B43" s="27">
        <v>44976</v>
      </c>
      <c r="C43" s="28" t="s">
        <v>35</v>
      </c>
      <c r="D43" s="28">
        <v>2023</v>
      </c>
      <c r="E43" s="28" t="s">
        <v>15</v>
      </c>
      <c r="F43" s="28">
        <v>2</v>
      </c>
      <c r="G43" s="28" t="s">
        <v>111</v>
      </c>
      <c r="H43" s="28" t="s">
        <v>16</v>
      </c>
      <c r="I43" s="28" t="s">
        <v>16</v>
      </c>
      <c r="J43" s="28" t="s">
        <v>16</v>
      </c>
      <c r="K43" s="28" t="s">
        <v>79</v>
      </c>
      <c r="L43" s="29">
        <f t="shared" si="1"/>
        <v>17.3</v>
      </c>
    </row>
    <row r="44" spans="1:13" x14ac:dyDescent="0.25">
      <c r="B44" s="27">
        <v>44976</v>
      </c>
      <c r="C44" s="28" t="s">
        <v>35</v>
      </c>
      <c r="D44" s="28">
        <v>2023</v>
      </c>
      <c r="E44" s="28" t="s">
        <v>14</v>
      </c>
      <c r="F44" s="28">
        <v>10</v>
      </c>
      <c r="G44" s="28" t="s">
        <v>99</v>
      </c>
      <c r="H44" s="28" t="s">
        <v>16</v>
      </c>
      <c r="I44" s="28" t="s">
        <v>16</v>
      </c>
      <c r="J44" s="28" t="s">
        <v>16</v>
      </c>
      <c r="K44" s="28" t="s">
        <v>73</v>
      </c>
      <c r="L44" s="29">
        <f t="shared" si="1"/>
        <v>86.5</v>
      </c>
    </row>
    <row r="45" spans="1:13" x14ac:dyDescent="0.25">
      <c r="B45" s="27">
        <v>44977</v>
      </c>
      <c r="C45" s="28" t="s">
        <v>35</v>
      </c>
      <c r="D45" s="28">
        <v>2023</v>
      </c>
      <c r="E45" s="28" t="s">
        <v>14</v>
      </c>
      <c r="F45" s="28">
        <v>26</v>
      </c>
      <c r="G45" s="28" t="s">
        <v>99</v>
      </c>
      <c r="H45" s="28" t="s">
        <v>16</v>
      </c>
      <c r="I45" s="28" t="s">
        <v>16</v>
      </c>
      <c r="J45" s="28" t="s">
        <v>16</v>
      </c>
      <c r="K45" s="28" t="s">
        <v>73</v>
      </c>
      <c r="L45" s="29">
        <f t="shared" si="1"/>
        <v>224.9</v>
      </c>
    </row>
    <row r="46" spans="1:13" x14ac:dyDescent="0.25">
      <c r="B46" s="27">
        <v>44977</v>
      </c>
      <c r="C46" s="28" t="s">
        <v>35</v>
      </c>
      <c r="D46" s="28">
        <v>2023</v>
      </c>
      <c r="E46" s="28" t="s">
        <v>15</v>
      </c>
      <c r="F46" s="28">
        <v>1</v>
      </c>
      <c r="G46" s="28" t="s">
        <v>93</v>
      </c>
      <c r="H46" s="28" t="s">
        <v>16</v>
      </c>
      <c r="I46" s="28" t="s">
        <v>16</v>
      </c>
      <c r="J46" s="28" t="s">
        <v>16</v>
      </c>
      <c r="K46" s="28" t="s">
        <v>79</v>
      </c>
      <c r="L46" s="29">
        <f t="shared" si="1"/>
        <v>8.65</v>
      </c>
    </row>
    <row r="47" spans="1:13" x14ac:dyDescent="0.25">
      <c r="B47" s="27">
        <v>44978</v>
      </c>
      <c r="C47" s="28" t="s">
        <v>35</v>
      </c>
      <c r="D47" s="28">
        <v>2023</v>
      </c>
      <c r="E47" s="28" t="s">
        <v>14</v>
      </c>
      <c r="F47" s="28">
        <v>14</v>
      </c>
      <c r="G47" s="28" t="s">
        <v>108</v>
      </c>
      <c r="H47" s="28" t="s">
        <v>16</v>
      </c>
      <c r="I47" s="28" t="s">
        <v>16</v>
      </c>
      <c r="J47" s="28" t="s">
        <v>16</v>
      </c>
      <c r="K47" s="28" t="s">
        <v>83</v>
      </c>
      <c r="L47" s="29">
        <f t="shared" si="1"/>
        <v>121.10000000000001</v>
      </c>
    </row>
    <row r="48" spans="1:13" x14ac:dyDescent="0.25">
      <c r="B48" s="27">
        <v>44979</v>
      </c>
      <c r="C48" s="28" t="s">
        <v>35</v>
      </c>
      <c r="D48" s="28">
        <v>2023</v>
      </c>
      <c r="E48" s="28" t="s">
        <v>14</v>
      </c>
      <c r="F48" s="28">
        <v>12</v>
      </c>
      <c r="G48" s="28" t="s">
        <v>108</v>
      </c>
      <c r="H48" s="28" t="s">
        <v>16</v>
      </c>
      <c r="I48" s="28" t="s">
        <v>16</v>
      </c>
      <c r="J48" s="28" t="s">
        <v>16</v>
      </c>
      <c r="K48" s="28" t="s">
        <v>75</v>
      </c>
      <c r="L48" s="29">
        <f t="shared" si="1"/>
        <v>103.80000000000001</v>
      </c>
    </row>
    <row r="49" spans="2:12" x14ac:dyDescent="0.25">
      <c r="B49" s="27">
        <v>44980</v>
      </c>
      <c r="C49" s="28" t="s">
        <v>35</v>
      </c>
      <c r="D49" s="28">
        <v>2023</v>
      </c>
      <c r="E49" s="28" t="s">
        <v>14</v>
      </c>
      <c r="F49" s="28">
        <v>24</v>
      </c>
      <c r="G49" s="28" t="s">
        <v>84</v>
      </c>
      <c r="H49" s="28" t="s">
        <v>16</v>
      </c>
      <c r="I49" s="28" t="s">
        <v>16</v>
      </c>
      <c r="J49" s="28" t="s">
        <v>16</v>
      </c>
      <c r="K49" s="28" t="s">
        <v>76</v>
      </c>
      <c r="L49" s="29">
        <f t="shared" si="1"/>
        <v>207.60000000000002</v>
      </c>
    </row>
    <row r="50" spans="2:12" x14ac:dyDescent="0.25">
      <c r="B50" s="27">
        <v>44981</v>
      </c>
      <c r="C50" s="28" t="s">
        <v>35</v>
      </c>
      <c r="D50" s="28">
        <v>2023</v>
      </c>
      <c r="E50" s="28" t="s">
        <v>14</v>
      </c>
      <c r="F50" s="28">
        <v>1</v>
      </c>
      <c r="G50" s="28" t="s">
        <v>99</v>
      </c>
      <c r="H50" s="28" t="s">
        <v>16</v>
      </c>
      <c r="I50" s="28" t="s">
        <v>16</v>
      </c>
      <c r="J50" s="28" t="s">
        <v>16</v>
      </c>
      <c r="K50" s="28" t="s">
        <v>79</v>
      </c>
      <c r="L50" s="29">
        <f t="shared" si="1"/>
        <v>8.65</v>
      </c>
    </row>
    <row r="51" spans="2:12" x14ac:dyDescent="0.25">
      <c r="B51" s="27">
        <v>44982</v>
      </c>
      <c r="C51" s="28" t="s">
        <v>35</v>
      </c>
      <c r="D51" s="28">
        <v>2023</v>
      </c>
      <c r="E51" s="28" t="s">
        <v>15</v>
      </c>
      <c r="F51" s="28">
        <v>2</v>
      </c>
      <c r="G51" s="28" t="s">
        <v>111</v>
      </c>
      <c r="H51" s="28" t="s">
        <v>16</v>
      </c>
      <c r="I51" s="28" t="s">
        <v>16</v>
      </c>
      <c r="J51" s="28" t="s">
        <v>16</v>
      </c>
      <c r="K51" s="28" t="s">
        <v>83</v>
      </c>
      <c r="L51" s="29">
        <f t="shared" si="1"/>
        <v>17.3</v>
      </c>
    </row>
    <row r="52" spans="2:12" x14ac:dyDescent="0.25">
      <c r="B52" s="27">
        <v>44984</v>
      </c>
      <c r="C52" s="28" t="s">
        <v>35</v>
      </c>
      <c r="D52" s="28">
        <v>2023</v>
      </c>
      <c r="E52" s="28" t="s">
        <v>14</v>
      </c>
      <c r="F52" s="28">
        <v>26</v>
      </c>
      <c r="G52" s="28" t="s">
        <v>93</v>
      </c>
      <c r="H52" s="28" t="s">
        <v>16</v>
      </c>
      <c r="I52" s="28" t="s">
        <v>16</v>
      </c>
      <c r="J52" s="28" t="s">
        <v>16</v>
      </c>
      <c r="K52" s="28" t="s">
        <v>73</v>
      </c>
      <c r="L52" s="29">
        <f t="shared" si="1"/>
        <v>224.9</v>
      </c>
    </row>
    <row r="53" spans="2:12" x14ac:dyDescent="0.25">
      <c r="B53" s="27">
        <v>44985</v>
      </c>
      <c r="C53" s="28" t="s">
        <v>35</v>
      </c>
      <c r="D53" s="28">
        <v>2023</v>
      </c>
      <c r="E53" s="28" t="s">
        <v>15</v>
      </c>
      <c r="F53" s="28">
        <v>4</v>
      </c>
      <c r="G53" s="28" t="s">
        <v>99</v>
      </c>
      <c r="H53" s="28" t="s">
        <v>16</v>
      </c>
      <c r="I53" s="28" t="s">
        <v>16</v>
      </c>
      <c r="J53" s="28" t="s">
        <v>16</v>
      </c>
      <c r="K53" s="28" t="s">
        <v>75</v>
      </c>
      <c r="L53" s="29">
        <f t="shared" si="1"/>
        <v>34.6</v>
      </c>
    </row>
    <row r="54" spans="2:12" x14ac:dyDescent="0.25">
      <c r="B54" s="27">
        <v>44985</v>
      </c>
      <c r="C54" s="28" t="s">
        <v>35</v>
      </c>
      <c r="D54" s="28">
        <v>2023</v>
      </c>
      <c r="E54" s="28" t="s">
        <v>14</v>
      </c>
      <c r="F54" s="28">
        <v>16</v>
      </c>
      <c r="G54" s="28" t="s">
        <v>99</v>
      </c>
      <c r="H54" s="28" t="s">
        <v>16</v>
      </c>
      <c r="I54" s="28" t="s">
        <v>16</v>
      </c>
      <c r="J54" s="28" t="s">
        <v>16</v>
      </c>
      <c r="K54" s="28" t="s">
        <v>83</v>
      </c>
      <c r="L54" s="29">
        <f>F54*8.65</f>
        <v>138.4</v>
      </c>
    </row>
    <row r="55" spans="2:12" x14ac:dyDescent="0.25">
      <c r="B55" s="27">
        <v>44989</v>
      </c>
      <c r="C55" s="28" t="s">
        <v>36</v>
      </c>
      <c r="D55" s="28">
        <v>2023</v>
      </c>
      <c r="E55" s="28" t="s">
        <v>15</v>
      </c>
      <c r="F55" s="28">
        <v>6</v>
      </c>
      <c r="G55" s="28" t="s">
        <v>93</v>
      </c>
      <c r="H55" s="28" t="s">
        <v>16</v>
      </c>
      <c r="I55" s="28" t="s">
        <v>16</v>
      </c>
      <c r="J55" s="28" t="s">
        <v>16</v>
      </c>
      <c r="K55" s="28" t="s">
        <v>76</v>
      </c>
      <c r="L55" s="29">
        <f t="shared" ref="L55:L118" si="2">F55*9.09</f>
        <v>54.54</v>
      </c>
    </row>
    <row r="56" spans="2:12" x14ac:dyDescent="0.25">
      <c r="B56" s="27">
        <v>44990</v>
      </c>
      <c r="C56" s="28" t="s">
        <v>36</v>
      </c>
      <c r="D56" s="28">
        <v>2023</v>
      </c>
      <c r="E56" s="28" t="s">
        <v>15</v>
      </c>
      <c r="F56" s="28">
        <v>6</v>
      </c>
      <c r="G56" s="28" t="s">
        <v>111</v>
      </c>
      <c r="H56" s="28" t="s">
        <v>16</v>
      </c>
      <c r="I56" s="28" t="s">
        <v>16</v>
      </c>
      <c r="J56" s="28" t="s">
        <v>16</v>
      </c>
      <c r="K56" s="28" t="s">
        <v>76</v>
      </c>
      <c r="L56" s="29">
        <f t="shared" si="2"/>
        <v>54.54</v>
      </c>
    </row>
    <row r="57" spans="2:12" x14ac:dyDescent="0.25">
      <c r="B57" s="27">
        <v>44990</v>
      </c>
      <c r="C57" s="28" t="s">
        <v>36</v>
      </c>
      <c r="D57" s="28">
        <v>2023</v>
      </c>
      <c r="E57" s="28" t="s">
        <v>15</v>
      </c>
      <c r="F57" s="28">
        <v>1</v>
      </c>
      <c r="G57" s="28" t="s">
        <v>93</v>
      </c>
      <c r="H57" s="28" t="s">
        <v>16</v>
      </c>
      <c r="I57" s="28" t="s">
        <v>16</v>
      </c>
      <c r="J57" s="28" t="s">
        <v>16</v>
      </c>
      <c r="K57" s="28" t="s">
        <v>78</v>
      </c>
      <c r="L57" s="29">
        <f t="shared" si="2"/>
        <v>9.09</v>
      </c>
    </row>
    <row r="58" spans="2:12" x14ac:dyDescent="0.25">
      <c r="B58" s="27">
        <v>44990</v>
      </c>
      <c r="C58" s="28" t="s">
        <v>36</v>
      </c>
      <c r="D58" s="28">
        <v>2023</v>
      </c>
      <c r="E58" s="28" t="s">
        <v>15</v>
      </c>
      <c r="F58" s="28">
        <v>3</v>
      </c>
      <c r="G58" s="28" t="s">
        <v>111</v>
      </c>
      <c r="H58" s="28" t="s">
        <v>16</v>
      </c>
      <c r="I58" s="28" t="s">
        <v>16</v>
      </c>
      <c r="J58" s="28" t="s">
        <v>16</v>
      </c>
      <c r="K58" s="28" t="s">
        <v>78</v>
      </c>
      <c r="L58" s="29">
        <f t="shared" si="2"/>
        <v>27.27</v>
      </c>
    </row>
    <row r="59" spans="2:12" x14ac:dyDescent="0.25">
      <c r="B59" s="27">
        <v>44992</v>
      </c>
      <c r="C59" s="28" t="s">
        <v>36</v>
      </c>
      <c r="D59" s="28">
        <v>2023</v>
      </c>
      <c r="E59" s="28" t="s">
        <v>14</v>
      </c>
      <c r="F59" s="28">
        <v>26</v>
      </c>
      <c r="G59" s="28" t="s">
        <v>93</v>
      </c>
      <c r="H59" s="28" t="s">
        <v>16</v>
      </c>
      <c r="I59" s="28" t="s">
        <v>16</v>
      </c>
      <c r="J59" s="28" t="s">
        <v>16</v>
      </c>
      <c r="K59" s="28" t="s">
        <v>73</v>
      </c>
      <c r="L59" s="29">
        <f t="shared" si="2"/>
        <v>236.34</v>
      </c>
    </row>
    <row r="60" spans="2:12" x14ac:dyDescent="0.25">
      <c r="B60" s="27">
        <v>44992</v>
      </c>
      <c r="C60" s="28" t="s">
        <v>36</v>
      </c>
      <c r="D60" s="28">
        <v>2023</v>
      </c>
      <c r="E60" s="28" t="s">
        <v>14</v>
      </c>
      <c r="F60" s="28">
        <v>26</v>
      </c>
      <c r="G60" s="28" t="s">
        <v>93</v>
      </c>
      <c r="H60" s="28" t="s">
        <v>16</v>
      </c>
      <c r="I60" s="28" t="s">
        <v>16</v>
      </c>
      <c r="J60" s="28" t="s">
        <v>16</v>
      </c>
      <c r="K60" s="28" t="s">
        <v>73</v>
      </c>
      <c r="L60" s="29">
        <f t="shared" si="2"/>
        <v>236.34</v>
      </c>
    </row>
    <row r="61" spans="2:12" x14ac:dyDescent="0.25">
      <c r="B61" s="27">
        <v>44992</v>
      </c>
      <c r="C61" s="28" t="s">
        <v>36</v>
      </c>
      <c r="D61" s="28">
        <v>2023</v>
      </c>
      <c r="E61" s="28" t="s">
        <v>14</v>
      </c>
      <c r="F61" s="28">
        <v>24</v>
      </c>
      <c r="G61" s="28" t="s">
        <v>93</v>
      </c>
      <c r="H61" s="28" t="s">
        <v>16</v>
      </c>
      <c r="I61" s="28" t="s">
        <v>16</v>
      </c>
      <c r="J61" s="28" t="s">
        <v>16</v>
      </c>
      <c r="K61" s="28" t="s">
        <v>78</v>
      </c>
      <c r="L61" s="29">
        <f t="shared" si="2"/>
        <v>218.16</v>
      </c>
    </row>
    <row r="62" spans="2:12" x14ac:dyDescent="0.25">
      <c r="B62" s="27">
        <v>44994</v>
      </c>
      <c r="C62" s="28" t="s">
        <v>36</v>
      </c>
      <c r="D62" s="28">
        <v>2023</v>
      </c>
      <c r="E62" s="28" t="s">
        <v>15</v>
      </c>
      <c r="F62" s="28">
        <v>3</v>
      </c>
      <c r="G62" s="28" t="s">
        <v>111</v>
      </c>
      <c r="H62" s="28" t="s">
        <v>16</v>
      </c>
      <c r="I62" s="28" t="s">
        <v>16</v>
      </c>
      <c r="J62" s="28" t="s">
        <v>16</v>
      </c>
      <c r="K62" s="28" t="s">
        <v>78</v>
      </c>
      <c r="L62" s="29">
        <f t="shared" si="2"/>
        <v>27.27</v>
      </c>
    </row>
    <row r="63" spans="2:12" x14ac:dyDescent="0.25">
      <c r="B63" s="27">
        <v>44995</v>
      </c>
      <c r="C63" s="28" t="s">
        <v>36</v>
      </c>
      <c r="D63" s="28">
        <v>2023</v>
      </c>
      <c r="E63" s="28" t="s">
        <v>14</v>
      </c>
      <c r="F63" s="28">
        <v>6</v>
      </c>
      <c r="G63" s="28" t="s">
        <v>111</v>
      </c>
      <c r="H63" s="28" t="s">
        <v>16</v>
      </c>
      <c r="I63" s="28" t="s">
        <v>16</v>
      </c>
      <c r="J63" s="28" t="s">
        <v>16</v>
      </c>
      <c r="K63" s="28" t="s">
        <v>75</v>
      </c>
      <c r="L63" s="29">
        <f t="shared" si="2"/>
        <v>54.54</v>
      </c>
    </row>
    <row r="64" spans="2:12" x14ac:dyDescent="0.25">
      <c r="B64" s="27">
        <v>44996</v>
      </c>
      <c r="C64" s="28" t="s">
        <v>36</v>
      </c>
      <c r="D64" s="28">
        <v>2023</v>
      </c>
      <c r="E64" s="28" t="s">
        <v>14</v>
      </c>
      <c r="F64" s="28">
        <v>28</v>
      </c>
      <c r="G64" s="28" t="s">
        <v>93</v>
      </c>
      <c r="H64" s="28" t="s">
        <v>16</v>
      </c>
      <c r="I64" s="28" t="s">
        <v>16</v>
      </c>
      <c r="J64" s="28" t="s">
        <v>16</v>
      </c>
      <c r="K64" s="28" t="s">
        <v>79</v>
      </c>
      <c r="L64" s="29">
        <f t="shared" si="2"/>
        <v>254.51999999999998</v>
      </c>
    </row>
    <row r="65" spans="2:12" x14ac:dyDescent="0.25">
      <c r="B65" s="27">
        <v>44997</v>
      </c>
      <c r="C65" s="28" t="s">
        <v>36</v>
      </c>
      <c r="D65" s="28">
        <v>2023</v>
      </c>
      <c r="E65" s="28" t="s">
        <v>14</v>
      </c>
      <c r="F65" s="28">
        <v>28</v>
      </c>
      <c r="G65" s="28" t="s">
        <v>93</v>
      </c>
      <c r="H65" s="28" t="s">
        <v>16</v>
      </c>
      <c r="I65" s="28" t="s">
        <v>16</v>
      </c>
      <c r="J65" s="28" t="s">
        <v>16</v>
      </c>
      <c r="K65" s="28" t="s">
        <v>75</v>
      </c>
      <c r="L65" s="29">
        <f t="shared" si="2"/>
        <v>254.51999999999998</v>
      </c>
    </row>
    <row r="66" spans="2:12" x14ac:dyDescent="0.25">
      <c r="B66" s="27">
        <v>44997</v>
      </c>
      <c r="C66" s="28" t="s">
        <v>36</v>
      </c>
      <c r="D66" s="28">
        <v>2023</v>
      </c>
      <c r="E66" s="28" t="s">
        <v>15</v>
      </c>
      <c r="F66" s="28">
        <v>4</v>
      </c>
      <c r="G66" s="28" t="s">
        <v>111</v>
      </c>
      <c r="H66" s="28" t="s">
        <v>16</v>
      </c>
      <c r="I66" s="28" t="s">
        <v>16</v>
      </c>
      <c r="J66" s="28" t="s">
        <v>16</v>
      </c>
      <c r="K66" s="28" t="s">
        <v>75</v>
      </c>
      <c r="L66" s="29">
        <f t="shared" si="2"/>
        <v>36.36</v>
      </c>
    </row>
    <row r="67" spans="2:12" x14ac:dyDescent="0.25">
      <c r="B67" s="27">
        <v>44999</v>
      </c>
      <c r="C67" s="28" t="s">
        <v>36</v>
      </c>
      <c r="D67" s="28">
        <v>2023</v>
      </c>
      <c r="E67" s="28" t="s">
        <v>14</v>
      </c>
      <c r="F67" s="28">
        <v>26</v>
      </c>
      <c r="G67" s="28" t="s">
        <v>93</v>
      </c>
      <c r="H67" s="28" t="s">
        <v>16</v>
      </c>
      <c r="I67" s="28" t="s">
        <v>16</v>
      </c>
      <c r="J67" s="28" t="s">
        <v>16</v>
      </c>
      <c r="K67" s="28" t="s">
        <v>83</v>
      </c>
      <c r="L67" s="29">
        <f t="shared" si="2"/>
        <v>236.34</v>
      </c>
    </row>
    <row r="68" spans="2:12" x14ac:dyDescent="0.25">
      <c r="B68" s="27">
        <v>44999</v>
      </c>
      <c r="C68" s="28" t="s">
        <v>36</v>
      </c>
      <c r="D68" s="28">
        <v>2023</v>
      </c>
      <c r="E68" s="28" t="s">
        <v>15</v>
      </c>
      <c r="F68" s="28">
        <v>1</v>
      </c>
      <c r="G68" s="28" t="s">
        <v>93</v>
      </c>
      <c r="H68" s="28" t="s">
        <v>16</v>
      </c>
      <c r="I68" s="28" t="s">
        <v>16</v>
      </c>
      <c r="J68" s="28" t="s">
        <v>16</v>
      </c>
      <c r="K68" s="28" t="s">
        <v>79</v>
      </c>
      <c r="L68" s="29">
        <f t="shared" si="2"/>
        <v>9.09</v>
      </c>
    </row>
    <row r="69" spans="2:12" x14ac:dyDescent="0.25">
      <c r="B69" s="27">
        <v>45002</v>
      </c>
      <c r="C69" s="28" t="s">
        <v>36</v>
      </c>
      <c r="D69" s="28">
        <v>2023</v>
      </c>
      <c r="E69" s="28" t="s">
        <v>15</v>
      </c>
      <c r="F69" s="28">
        <v>1</v>
      </c>
      <c r="G69" s="28" t="s">
        <v>111</v>
      </c>
      <c r="H69" s="28" t="s">
        <v>16</v>
      </c>
      <c r="I69" s="28" t="s">
        <v>16</v>
      </c>
      <c r="J69" s="28" t="s">
        <v>16</v>
      </c>
      <c r="K69" s="28" t="s">
        <v>79</v>
      </c>
      <c r="L69" s="29">
        <f t="shared" si="2"/>
        <v>9.09</v>
      </c>
    </row>
    <row r="70" spans="2:12" x14ac:dyDescent="0.25">
      <c r="B70" s="27">
        <v>45002</v>
      </c>
      <c r="C70" s="28" t="s">
        <v>36</v>
      </c>
      <c r="D70" s="28">
        <v>2023</v>
      </c>
      <c r="E70" s="28" t="s">
        <v>14</v>
      </c>
      <c r="F70" s="28">
        <v>28</v>
      </c>
      <c r="G70" s="28" t="s">
        <v>93</v>
      </c>
      <c r="H70" s="28" t="s">
        <v>16</v>
      </c>
      <c r="I70" s="28" t="s">
        <v>16</v>
      </c>
      <c r="J70" s="28" t="s">
        <v>16</v>
      </c>
      <c r="K70" s="28" t="s">
        <v>78</v>
      </c>
      <c r="L70" s="29">
        <f t="shared" si="2"/>
        <v>254.51999999999998</v>
      </c>
    </row>
    <row r="71" spans="2:12" x14ac:dyDescent="0.25">
      <c r="B71" s="27">
        <v>45005</v>
      </c>
      <c r="C71" s="28" t="s">
        <v>36</v>
      </c>
      <c r="D71" s="28">
        <v>2023</v>
      </c>
      <c r="E71" s="28" t="s">
        <v>14</v>
      </c>
      <c r="F71" s="28">
        <v>1</v>
      </c>
      <c r="G71" s="28" t="s">
        <v>93</v>
      </c>
      <c r="H71" s="28" t="s">
        <v>16</v>
      </c>
      <c r="I71" s="28" t="s">
        <v>16</v>
      </c>
      <c r="J71" s="28" t="s">
        <v>16</v>
      </c>
      <c r="K71" s="28" t="s">
        <v>83</v>
      </c>
      <c r="L71" s="29">
        <f t="shared" si="2"/>
        <v>9.09</v>
      </c>
    </row>
    <row r="72" spans="2:12" x14ac:dyDescent="0.25">
      <c r="B72" s="27">
        <v>45005</v>
      </c>
      <c r="C72" s="28" t="s">
        <v>36</v>
      </c>
      <c r="D72" s="28">
        <v>2023</v>
      </c>
      <c r="E72" s="28" t="s">
        <v>15</v>
      </c>
      <c r="F72" s="28">
        <v>10</v>
      </c>
      <c r="G72" s="28" t="s">
        <v>111</v>
      </c>
      <c r="H72" s="28" t="s">
        <v>16</v>
      </c>
      <c r="I72" s="28" t="s">
        <v>16</v>
      </c>
      <c r="J72" s="28" t="s">
        <v>16</v>
      </c>
      <c r="K72" s="28" t="s">
        <v>76</v>
      </c>
      <c r="L72" s="29">
        <f t="shared" si="2"/>
        <v>90.9</v>
      </c>
    </row>
    <row r="73" spans="2:12" x14ac:dyDescent="0.25">
      <c r="B73" s="27">
        <v>45006</v>
      </c>
      <c r="C73" s="28" t="s">
        <v>36</v>
      </c>
      <c r="D73" s="28">
        <v>2023</v>
      </c>
      <c r="E73" s="28" t="s">
        <v>15</v>
      </c>
      <c r="F73" s="28">
        <v>3</v>
      </c>
      <c r="G73" s="28" t="s">
        <v>99</v>
      </c>
      <c r="H73" s="28" t="s">
        <v>16</v>
      </c>
      <c r="I73" s="28" t="s">
        <v>16</v>
      </c>
      <c r="J73" s="28" t="s">
        <v>16</v>
      </c>
      <c r="K73" s="28" t="s">
        <v>83</v>
      </c>
      <c r="L73" s="29">
        <f t="shared" si="2"/>
        <v>27.27</v>
      </c>
    </row>
    <row r="74" spans="2:12" x14ac:dyDescent="0.25">
      <c r="B74" s="27">
        <v>45008</v>
      </c>
      <c r="C74" s="28" t="s">
        <v>36</v>
      </c>
      <c r="D74" s="28">
        <v>2023</v>
      </c>
      <c r="E74" s="28" t="s">
        <v>15</v>
      </c>
      <c r="F74" s="28">
        <v>1</v>
      </c>
      <c r="G74" s="28" t="s">
        <v>85</v>
      </c>
      <c r="H74" s="28" t="s">
        <v>16</v>
      </c>
      <c r="I74" s="28" t="s">
        <v>16</v>
      </c>
      <c r="J74" s="28" t="s">
        <v>16</v>
      </c>
      <c r="K74" s="28" t="s">
        <v>78</v>
      </c>
      <c r="L74" s="29">
        <f t="shared" si="2"/>
        <v>9.09</v>
      </c>
    </row>
    <row r="75" spans="2:12" x14ac:dyDescent="0.25">
      <c r="B75" s="27">
        <v>45010</v>
      </c>
      <c r="C75" s="28" t="s">
        <v>36</v>
      </c>
      <c r="D75" s="28">
        <v>2023</v>
      </c>
      <c r="E75" s="28" t="s">
        <v>14</v>
      </c>
      <c r="F75" s="28">
        <v>4</v>
      </c>
      <c r="G75" s="28" t="s">
        <v>111</v>
      </c>
      <c r="H75" s="28" t="s">
        <v>16</v>
      </c>
      <c r="I75" s="28" t="s">
        <v>16</v>
      </c>
      <c r="J75" s="28" t="s">
        <v>16</v>
      </c>
      <c r="K75" s="28" t="s">
        <v>78</v>
      </c>
      <c r="L75" s="29">
        <f t="shared" si="2"/>
        <v>36.36</v>
      </c>
    </row>
    <row r="76" spans="2:12" x14ac:dyDescent="0.25">
      <c r="B76" s="27">
        <v>45011</v>
      </c>
      <c r="C76" s="28" t="s">
        <v>36</v>
      </c>
      <c r="D76" s="28">
        <v>2023</v>
      </c>
      <c r="E76" s="28" t="s">
        <v>15</v>
      </c>
      <c r="F76" s="28">
        <v>5</v>
      </c>
      <c r="G76" s="28" t="s">
        <v>97</v>
      </c>
      <c r="H76" s="28" t="s">
        <v>16</v>
      </c>
      <c r="I76" s="28" t="s">
        <v>16</v>
      </c>
      <c r="J76" s="28" t="s">
        <v>16</v>
      </c>
      <c r="K76" s="28" t="s">
        <v>76</v>
      </c>
      <c r="L76" s="29">
        <f t="shared" si="2"/>
        <v>45.45</v>
      </c>
    </row>
    <row r="77" spans="2:12" x14ac:dyDescent="0.25">
      <c r="B77" s="27">
        <v>45013</v>
      </c>
      <c r="C77" s="28" t="s">
        <v>36</v>
      </c>
      <c r="D77" s="28">
        <v>2023</v>
      </c>
      <c r="E77" s="28" t="s">
        <v>15</v>
      </c>
      <c r="F77" s="28">
        <v>2</v>
      </c>
      <c r="G77" s="28" t="s">
        <v>94</v>
      </c>
      <c r="H77" s="28" t="s">
        <v>16</v>
      </c>
      <c r="I77" s="28" t="s">
        <v>16</v>
      </c>
      <c r="J77" s="28" t="s">
        <v>16</v>
      </c>
      <c r="K77" s="28" t="s">
        <v>76</v>
      </c>
      <c r="L77" s="29">
        <f t="shared" si="2"/>
        <v>18.18</v>
      </c>
    </row>
    <row r="78" spans="2:12" x14ac:dyDescent="0.25">
      <c r="B78" s="27">
        <v>45013</v>
      </c>
      <c r="C78" s="28" t="s">
        <v>36</v>
      </c>
      <c r="D78" s="28">
        <v>2023</v>
      </c>
      <c r="E78" s="28" t="s">
        <v>15</v>
      </c>
      <c r="F78" s="28">
        <v>28</v>
      </c>
      <c r="G78" s="28" t="s">
        <v>85</v>
      </c>
      <c r="H78" s="28" t="s">
        <v>16</v>
      </c>
      <c r="I78" s="28" t="s">
        <v>16</v>
      </c>
      <c r="J78" s="28" t="s">
        <v>16</v>
      </c>
      <c r="K78" s="28" t="s">
        <v>78</v>
      </c>
      <c r="L78" s="29">
        <f t="shared" si="2"/>
        <v>254.51999999999998</v>
      </c>
    </row>
    <row r="79" spans="2:12" x14ac:dyDescent="0.25">
      <c r="B79" s="27">
        <v>45013</v>
      </c>
      <c r="C79" s="28" t="s">
        <v>36</v>
      </c>
      <c r="D79" s="28">
        <v>2023</v>
      </c>
      <c r="E79" s="28" t="s">
        <v>15</v>
      </c>
      <c r="F79" s="28">
        <v>4</v>
      </c>
      <c r="G79" s="28" t="s">
        <v>85</v>
      </c>
      <c r="H79" s="28" t="s">
        <v>16</v>
      </c>
      <c r="I79" s="28" t="s">
        <v>16</v>
      </c>
      <c r="J79" s="28" t="s">
        <v>16</v>
      </c>
      <c r="K79" s="28" t="s">
        <v>78</v>
      </c>
      <c r="L79" s="29">
        <f t="shared" si="2"/>
        <v>36.36</v>
      </c>
    </row>
    <row r="80" spans="2:12" x14ac:dyDescent="0.25">
      <c r="B80" s="27">
        <v>45013</v>
      </c>
      <c r="C80" s="28" t="s">
        <v>36</v>
      </c>
      <c r="D80" s="28">
        <v>2023</v>
      </c>
      <c r="E80" s="28" t="s">
        <v>14</v>
      </c>
      <c r="F80" s="28">
        <v>1</v>
      </c>
      <c r="G80" s="28" t="s">
        <v>94</v>
      </c>
      <c r="H80" s="28" t="s">
        <v>16</v>
      </c>
      <c r="I80" s="28" t="s">
        <v>16</v>
      </c>
      <c r="J80" s="28" t="s">
        <v>16</v>
      </c>
      <c r="K80" s="28" t="s">
        <v>78</v>
      </c>
      <c r="L80" s="29">
        <f t="shared" si="2"/>
        <v>9.09</v>
      </c>
    </row>
    <row r="81" spans="2:12" x14ac:dyDescent="0.25">
      <c r="B81" s="27">
        <v>45013</v>
      </c>
      <c r="C81" s="28" t="s">
        <v>36</v>
      </c>
      <c r="D81" s="28">
        <v>2023</v>
      </c>
      <c r="E81" s="28" t="s">
        <v>15</v>
      </c>
      <c r="F81" s="28">
        <v>3</v>
      </c>
      <c r="G81" s="28" t="s">
        <v>94</v>
      </c>
      <c r="H81" s="28" t="s">
        <v>16</v>
      </c>
      <c r="I81" s="28" t="s">
        <v>16</v>
      </c>
      <c r="J81" s="28" t="s">
        <v>16</v>
      </c>
      <c r="K81" s="28" t="s">
        <v>78</v>
      </c>
      <c r="L81" s="29">
        <f t="shared" si="2"/>
        <v>27.27</v>
      </c>
    </row>
    <row r="82" spans="2:12" x14ac:dyDescent="0.25">
      <c r="B82" s="27">
        <v>45013</v>
      </c>
      <c r="C82" s="28" t="s">
        <v>36</v>
      </c>
      <c r="D82" s="28">
        <v>2023</v>
      </c>
      <c r="E82" s="28" t="s">
        <v>15</v>
      </c>
      <c r="F82" s="28">
        <v>5</v>
      </c>
      <c r="G82" s="28" t="s">
        <v>111</v>
      </c>
      <c r="H82" s="28" t="s">
        <v>16</v>
      </c>
      <c r="I82" s="28" t="s">
        <v>16</v>
      </c>
      <c r="J82" s="28" t="s">
        <v>16</v>
      </c>
      <c r="K82" s="28" t="s">
        <v>76</v>
      </c>
      <c r="L82" s="29">
        <f t="shared" si="2"/>
        <v>45.45</v>
      </c>
    </row>
    <row r="83" spans="2:12" x14ac:dyDescent="0.25">
      <c r="B83" s="27">
        <v>45013</v>
      </c>
      <c r="C83" s="28" t="s">
        <v>36</v>
      </c>
      <c r="D83" s="28">
        <v>2023</v>
      </c>
      <c r="E83" s="28" t="s">
        <v>15</v>
      </c>
      <c r="F83" s="28">
        <v>1</v>
      </c>
      <c r="G83" s="28" t="s">
        <v>94</v>
      </c>
      <c r="H83" s="28" t="s">
        <v>16</v>
      </c>
      <c r="I83" s="28" t="s">
        <v>16</v>
      </c>
      <c r="J83" s="28" t="s">
        <v>16</v>
      </c>
      <c r="K83" s="28" t="s">
        <v>76</v>
      </c>
      <c r="L83" s="29">
        <f t="shared" si="2"/>
        <v>9.09</v>
      </c>
    </row>
    <row r="84" spans="2:12" x14ac:dyDescent="0.25">
      <c r="B84" s="27">
        <v>45016</v>
      </c>
      <c r="C84" s="28" t="s">
        <v>36</v>
      </c>
      <c r="D84" s="28">
        <v>2023</v>
      </c>
      <c r="E84" s="28" t="s">
        <v>15</v>
      </c>
      <c r="F84" s="28">
        <v>4</v>
      </c>
      <c r="G84" s="28" t="s">
        <v>111</v>
      </c>
      <c r="H84" s="28" t="s">
        <v>16</v>
      </c>
      <c r="I84" s="28" t="s">
        <v>16</v>
      </c>
      <c r="J84" s="28" t="s">
        <v>16</v>
      </c>
      <c r="K84" s="28" t="s">
        <v>83</v>
      </c>
      <c r="L84" s="29">
        <f t="shared" si="2"/>
        <v>36.36</v>
      </c>
    </row>
    <row r="85" spans="2:12" x14ac:dyDescent="0.25">
      <c r="B85" s="27">
        <v>45016</v>
      </c>
      <c r="C85" s="28" t="s">
        <v>36</v>
      </c>
      <c r="D85" s="28">
        <v>2023</v>
      </c>
      <c r="E85" s="28" t="s">
        <v>15</v>
      </c>
      <c r="F85" s="28">
        <v>5</v>
      </c>
      <c r="G85" s="28" t="s">
        <v>93</v>
      </c>
      <c r="H85" s="28" t="s">
        <v>16</v>
      </c>
      <c r="I85" s="28" t="s">
        <v>16</v>
      </c>
      <c r="J85" s="28" t="s">
        <v>16</v>
      </c>
      <c r="K85" s="28" t="s">
        <v>83</v>
      </c>
      <c r="L85" s="29">
        <f t="shared" si="2"/>
        <v>45.45</v>
      </c>
    </row>
    <row r="86" spans="2:12" x14ac:dyDescent="0.25">
      <c r="B86" s="27">
        <v>45016</v>
      </c>
      <c r="C86" s="28" t="s">
        <v>36</v>
      </c>
      <c r="D86" s="28">
        <v>2023</v>
      </c>
      <c r="E86" s="28" t="s">
        <v>15</v>
      </c>
      <c r="F86" s="28">
        <v>2</v>
      </c>
      <c r="G86" s="28" t="s">
        <v>111</v>
      </c>
      <c r="H86" s="28" t="s">
        <v>16</v>
      </c>
      <c r="I86" s="28" t="s">
        <v>16</v>
      </c>
      <c r="J86" s="28" t="s">
        <v>16</v>
      </c>
      <c r="K86" s="28" t="s">
        <v>83</v>
      </c>
      <c r="L86" s="29">
        <f t="shared" si="2"/>
        <v>18.18</v>
      </c>
    </row>
    <row r="87" spans="2:12" x14ac:dyDescent="0.25">
      <c r="B87" s="27">
        <v>45016</v>
      </c>
      <c r="C87" s="28" t="s">
        <v>36</v>
      </c>
      <c r="D87" s="28">
        <v>2023</v>
      </c>
      <c r="E87" s="28" t="s">
        <v>14</v>
      </c>
      <c r="F87" s="28">
        <v>12</v>
      </c>
      <c r="G87" s="28" t="s">
        <v>97</v>
      </c>
      <c r="H87" s="28" t="s">
        <v>16</v>
      </c>
      <c r="I87" s="28" t="s">
        <v>16</v>
      </c>
      <c r="J87" s="28" t="s">
        <v>16</v>
      </c>
      <c r="K87" s="28" t="s">
        <v>78</v>
      </c>
      <c r="L87" s="29">
        <f t="shared" si="2"/>
        <v>109.08</v>
      </c>
    </row>
    <row r="88" spans="2:12" x14ac:dyDescent="0.25">
      <c r="B88" s="27">
        <v>45016</v>
      </c>
      <c r="C88" s="28" t="s">
        <v>36</v>
      </c>
      <c r="D88" s="28">
        <v>2023</v>
      </c>
      <c r="E88" s="28" t="s">
        <v>14</v>
      </c>
      <c r="F88" s="28">
        <v>8</v>
      </c>
      <c r="G88" s="28" t="s">
        <v>94</v>
      </c>
      <c r="H88" s="28" t="s">
        <v>16</v>
      </c>
      <c r="I88" s="28" t="s">
        <v>16</v>
      </c>
      <c r="J88" s="28" t="s">
        <v>16</v>
      </c>
      <c r="K88" s="28" t="s">
        <v>78</v>
      </c>
      <c r="L88" s="29">
        <f t="shared" si="2"/>
        <v>72.72</v>
      </c>
    </row>
    <row r="89" spans="2:12" x14ac:dyDescent="0.25">
      <c r="B89" s="27">
        <v>45019</v>
      </c>
      <c r="C89" s="28" t="s">
        <v>37</v>
      </c>
      <c r="D89" s="28">
        <v>2023</v>
      </c>
      <c r="E89" s="28" t="s">
        <v>15</v>
      </c>
      <c r="F89" s="28">
        <v>2</v>
      </c>
      <c r="G89" s="28" t="s">
        <v>85</v>
      </c>
      <c r="H89" s="28" t="s">
        <v>16</v>
      </c>
      <c r="I89" s="28" t="s">
        <v>16</v>
      </c>
      <c r="J89" s="28" t="s">
        <v>16</v>
      </c>
      <c r="K89" s="28" t="s">
        <v>78</v>
      </c>
      <c r="L89" s="29">
        <f t="shared" si="2"/>
        <v>18.18</v>
      </c>
    </row>
    <row r="90" spans="2:12" x14ac:dyDescent="0.25">
      <c r="B90" s="27">
        <v>45020</v>
      </c>
      <c r="C90" s="28" t="s">
        <v>37</v>
      </c>
      <c r="D90" s="28">
        <v>2023</v>
      </c>
      <c r="E90" s="28" t="s">
        <v>14</v>
      </c>
      <c r="F90" s="28">
        <v>14</v>
      </c>
      <c r="G90" s="28" t="s">
        <v>111</v>
      </c>
      <c r="H90" s="28" t="s">
        <v>16</v>
      </c>
      <c r="I90" s="28" t="s">
        <v>16</v>
      </c>
      <c r="J90" s="28" t="s">
        <v>16</v>
      </c>
      <c r="K90" s="28" t="s">
        <v>76</v>
      </c>
      <c r="L90" s="29">
        <f t="shared" si="2"/>
        <v>127.25999999999999</v>
      </c>
    </row>
    <row r="91" spans="2:12" x14ac:dyDescent="0.25">
      <c r="B91" s="27">
        <v>45020</v>
      </c>
      <c r="C91" s="28" t="s">
        <v>37</v>
      </c>
      <c r="D91" s="28">
        <v>2023</v>
      </c>
      <c r="E91" s="28" t="s">
        <v>14</v>
      </c>
      <c r="F91" s="28">
        <v>5</v>
      </c>
      <c r="G91" s="28" t="s">
        <v>93</v>
      </c>
      <c r="H91" s="28" t="s">
        <v>16</v>
      </c>
      <c r="I91" s="28" t="s">
        <v>16</v>
      </c>
      <c r="J91" s="28" t="s">
        <v>16</v>
      </c>
      <c r="K91" s="28" t="s">
        <v>83</v>
      </c>
      <c r="L91" s="29">
        <f t="shared" si="2"/>
        <v>45.45</v>
      </c>
    </row>
    <row r="92" spans="2:12" x14ac:dyDescent="0.25">
      <c r="B92" s="27">
        <v>45021</v>
      </c>
      <c r="C92" s="28" t="s">
        <v>37</v>
      </c>
      <c r="D92" s="28">
        <v>2023</v>
      </c>
      <c r="E92" s="28" t="s">
        <v>15</v>
      </c>
      <c r="F92" s="28">
        <v>5</v>
      </c>
      <c r="G92" s="28" t="s">
        <v>111</v>
      </c>
      <c r="H92" s="28" t="s">
        <v>16</v>
      </c>
      <c r="I92" s="28" t="s">
        <v>16</v>
      </c>
      <c r="J92" s="28" t="s">
        <v>16</v>
      </c>
      <c r="K92" s="28" t="s">
        <v>83</v>
      </c>
      <c r="L92" s="29">
        <f t="shared" si="2"/>
        <v>45.45</v>
      </c>
    </row>
    <row r="93" spans="2:12" x14ac:dyDescent="0.25">
      <c r="B93" s="27">
        <v>45022</v>
      </c>
      <c r="C93" s="28" t="s">
        <v>37</v>
      </c>
      <c r="D93" s="28">
        <v>2023</v>
      </c>
      <c r="E93" s="28" t="s">
        <v>15</v>
      </c>
      <c r="F93" s="28">
        <v>1</v>
      </c>
      <c r="G93" s="28" t="s">
        <v>111</v>
      </c>
      <c r="H93" s="28" t="s">
        <v>16</v>
      </c>
      <c r="I93" s="28" t="s">
        <v>16</v>
      </c>
      <c r="J93" s="28" t="s">
        <v>16</v>
      </c>
      <c r="K93" s="28" t="s">
        <v>79</v>
      </c>
      <c r="L93" s="29">
        <f t="shared" si="2"/>
        <v>9.09</v>
      </c>
    </row>
    <row r="94" spans="2:12" x14ac:dyDescent="0.25">
      <c r="B94" s="27">
        <v>45022</v>
      </c>
      <c r="C94" s="28" t="s">
        <v>37</v>
      </c>
      <c r="D94" s="28">
        <v>2023</v>
      </c>
      <c r="E94" s="28" t="s">
        <v>14</v>
      </c>
      <c r="F94" s="28">
        <v>3</v>
      </c>
      <c r="G94" s="28" t="s">
        <v>111</v>
      </c>
      <c r="H94" s="28" t="s">
        <v>16</v>
      </c>
      <c r="I94" s="28" t="s">
        <v>16</v>
      </c>
      <c r="J94" s="28" t="s">
        <v>16</v>
      </c>
      <c r="K94" s="28" t="s">
        <v>79</v>
      </c>
      <c r="L94" s="29">
        <f t="shared" si="2"/>
        <v>27.27</v>
      </c>
    </row>
    <row r="95" spans="2:12" x14ac:dyDescent="0.25">
      <c r="B95" s="27">
        <v>45023</v>
      </c>
      <c r="C95" s="28" t="s">
        <v>37</v>
      </c>
      <c r="D95" s="28">
        <v>2023</v>
      </c>
      <c r="E95" s="28" t="s">
        <v>15</v>
      </c>
      <c r="F95" s="28">
        <v>1</v>
      </c>
      <c r="G95" s="28" t="s">
        <v>93</v>
      </c>
      <c r="H95" s="28" t="s">
        <v>16</v>
      </c>
      <c r="I95" s="28" t="s">
        <v>16</v>
      </c>
      <c r="J95" s="28" t="s">
        <v>16</v>
      </c>
      <c r="K95" s="28" t="s">
        <v>76</v>
      </c>
      <c r="L95" s="29">
        <f t="shared" si="2"/>
        <v>9.09</v>
      </c>
    </row>
    <row r="96" spans="2:12" x14ac:dyDescent="0.25">
      <c r="B96" s="27">
        <v>45024</v>
      </c>
      <c r="C96" s="28" t="s">
        <v>37</v>
      </c>
      <c r="D96" s="28">
        <v>2023</v>
      </c>
      <c r="E96" s="28" t="s">
        <v>14</v>
      </c>
      <c r="F96" s="28">
        <v>3</v>
      </c>
      <c r="G96" s="28" t="s">
        <v>94</v>
      </c>
      <c r="H96" s="28" t="s">
        <v>16</v>
      </c>
      <c r="I96" s="28" t="s">
        <v>16</v>
      </c>
      <c r="J96" s="28" t="s">
        <v>16</v>
      </c>
      <c r="K96" s="28" t="s">
        <v>78</v>
      </c>
      <c r="L96" s="29">
        <f t="shared" si="2"/>
        <v>27.27</v>
      </c>
    </row>
    <row r="97" spans="2:12" x14ac:dyDescent="0.25">
      <c r="B97" s="27">
        <v>45025</v>
      </c>
      <c r="C97" s="28" t="s">
        <v>37</v>
      </c>
      <c r="D97" s="28">
        <v>2023</v>
      </c>
      <c r="E97" s="28" t="s">
        <v>15</v>
      </c>
      <c r="F97" s="28">
        <v>4</v>
      </c>
      <c r="G97" s="28" t="s">
        <v>85</v>
      </c>
      <c r="H97" s="28" t="s">
        <v>16</v>
      </c>
      <c r="I97" s="28" t="s">
        <v>16</v>
      </c>
      <c r="J97" s="28" t="s">
        <v>16</v>
      </c>
      <c r="K97" s="28" t="s">
        <v>78</v>
      </c>
      <c r="L97" s="29">
        <f t="shared" si="2"/>
        <v>36.36</v>
      </c>
    </row>
    <row r="98" spans="2:12" x14ac:dyDescent="0.25">
      <c r="B98" s="27">
        <v>45026</v>
      </c>
      <c r="C98" s="28" t="s">
        <v>37</v>
      </c>
      <c r="D98" s="28">
        <v>2023</v>
      </c>
      <c r="E98" s="28" t="s">
        <v>14</v>
      </c>
      <c r="F98" s="28">
        <v>13</v>
      </c>
      <c r="G98" s="28" t="s">
        <v>111</v>
      </c>
      <c r="H98" s="28" t="s">
        <v>16</v>
      </c>
      <c r="I98" s="28" t="s">
        <v>16</v>
      </c>
      <c r="J98" s="28" t="s">
        <v>16</v>
      </c>
      <c r="K98" s="28" t="s">
        <v>75</v>
      </c>
      <c r="L98" s="29">
        <f t="shared" si="2"/>
        <v>118.17</v>
      </c>
    </row>
    <row r="99" spans="2:12" x14ac:dyDescent="0.25">
      <c r="B99" s="27">
        <v>45026</v>
      </c>
      <c r="C99" s="28" t="s">
        <v>37</v>
      </c>
      <c r="D99" s="28">
        <v>2023</v>
      </c>
      <c r="E99" s="28" t="s">
        <v>14</v>
      </c>
      <c r="F99" s="28">
        <v>1</v>
      </c>
      <c r="G99" s="28" t="s">
        <v>85</v>
      </c>
      <c r="H99" s="28" t="s">
        <v>16</v>
      </c>
      <c r="I99" s="28" t="s">
        <v>16</v>
      </c>
      <c r="J99" s="28" t="s">
        <v>16</v>
      </c>
      <c r="K99" s="28" t="s">
        <v>78</v>
      </c>
      <c r="L99" s="29">
        <f t="shared" si="2"/>
        <v>9.09</v>
      </c>
    </row>
    <row r="100" spans="2:12" x14ac:dyDescent="0.25">
      <c r="B100" s="27">
        <v>45026</v>
      </c>
      <c r="C100" s="28" t="s">
        <v>37</v>
      </c>
      <c r="D100" s="28">
        <v>2023</v>
      </c>
      <c r="E100" s="28" t="s">
        <v>15</v>
      </c>
      <c r="F100" s="28">
        <v>1</v>
      </c>
      <c r="G100" s="28" t="s">
        <v>85</v>
      </c>
      <c r="H100" s="28" t="s">
        <v>16</v>
      </c>
      <c r="I100" s="28" t="s">
        <v>16</v>
      </c>
      <c r="J100" s="28" t="s">
        <v>16</v>
      </c>
      <c r="K100" s="28" t="s">
        <v>78</v>
      </c>
      <c r="L100" s="29">
        <f t="shared" si="2"/>
        <v>9.09</v>
      </c>
    </row>
    <row r="101" spans="2:12" x14ac:dyDescent="0.25">
      <c r="B101" s="27">
        <v>45027</v>
      </c>
      <c r="C101" s="28" t="s">
        <v>37</v>
      </c>
      <c r="D101" s="28">
        <v>2023</v>
      </c>
      <c r="E101" s="28" t="s">
        <v>14</v>
      </c>
      <c r="F101" s="28">
        <v>4</v>
      </c>
      <c r="G101" s="28" t="s">
        <v>93</v>
      </c>
      <c r="H101" s="28" t="s">
        <v>16</v>
      </c>
      <c r="I101" s="28" t="s">
        <v>16</v>
      </c>
      <c r="J101" s="28" t="s">
        <v>16</v>
      </c>
      <c r="K101" s="28" t="s">
        <v>78</v>
      </c>
      <c r="L101" s="29">
        <f t="shared" si="2"/>
        <v>36.36</v>
      </c>
    </row>
    <row r="102" spans="2:12" x14ac:dyDescent="0.25">
      <c r="B102" s="27">
        <v>45027</v>
      </c>
      <c r="C102" s="28" t="s">
        <v>37</v>
      </c>
      <c r="D102" s="28">
        <v>2023</v>
      </c>
      <c r="E102" s="28" t="s">
        <v>14</v>
      </c>
      <c r="F102" s="28">
        <v>26</v>
      </c>
      <c r="G102" s="28" t="s">
        <v>93</v>
      </c>
      <c r="H102" s="28" t="s">
        <v>16</v>
      </c>
      <c r="I102" s="28" t="s">
        <v>16</v>
      </c>
      <c r="J102" s="28" t="s">
        <v>16</v>
      </c>
      <c r="K102" s="28" t="s">
        <v>79</v>
      </c>
      <c r="L102" s="29">
        <f t="shared" si="2"/>
        <v>236.34</v>
      </c>
    </row>
    <row r="103" spans="2:12" x14ac:dyDescent="0.25">
      <c r="B103" s="27">
        <v>45027</v>
      </c>
      <c r="C103" s="28" t="s">
        <v>37</v>
      </c>
      <c r="D103" s="28">
        <v>2023</v>
      </c>
      <c r="E103" s="28" t="s">
        <v>14</v>
      </c>
      <c r="F103" s="28">
        <v>26</v>
      </c>
      <c r="G103" s="28" t="s">
        <v>93</v>
      </c>
      <c r="H103" s="28" t="s">
        <v>16</v>
      </c>
      <c r="I103" s="28" t="s">
        <v>16</v>
      </c>
      <c r="J103" s="28" t="s">
        <v>16</v>
      </c>
      <c r="K103" s="28" t="s">
        <v>83</v>
      </c>
      <c r="L103" s="29">
        <f t="shared" si="2"/>
        <v>236.34</v>
      </c>
    </row>
    <row r="104" spans="2:12" x14ac:dyDescent="0.25">
      <c r="B104" s="27">
        <v>45029</v>
      </c>
      <c r="C104" s="28" t="s">
        <v>37</v>
      </c>
      <c r="D104" s="28">
        <v>2023</v>
      </c>
      <c r="E104" s="28" t="s">
        <v>15</v>
      </c>
      <c r="F104" s="28">
        <v>4</v>
      </c>
      <c r="G104" s="28" t="s">
        <v>111</v>
      </c>
      <c r="H104" s="28" t="s">
        <v>16</v>
      </c>
      <c r="I104" s="28" t="s">
        <v>16</v>
      </c>
      <c r="J104" s="28" t="s">
        <v>16</v>
      </c>
      <c r="K104" s="28" t="s">
        <v>79</v>
      </c>
      <c r="L104" s="29">
        <f t="shared" si="2"/>
        <v>36.36</v>
      </c>
    </row>
    <row r="105" spans="2:12" x14ac:dyDescent="0.25">
      <c r="B105" s="27">
        <v>45029</v>
      </c>
      <c r="C105" s="28" t="s">
        <v>37</v>
      </c>
      <c r="D105" s="28">
        <v>2023</v>
      </c>
      <c r="E105" s="28" t="s">
        <v>15</v>
      </c>
      <c r="F105" s="28">
        <v>5</v>
      </c>
      <c r="G105" s="28" t="s">
        <v>94</v>
      </c>
      <c r="H105" s="28" t="s">
        <v>16</v>
      </c>
      <c r="I105" s="28" t="s">
        <v>16</v>
      </c>
      <c r="J105" s="28" t="s">
        <v>16</v>
      </c>
      <c r="K105" s="28" t="s">
        <v>76</v>
      </c>
      <c r="L105" s="29">
        <f t="shared" si="2"/>
        <v>45.45</v>
      </c>
    </row>
    <row r="106" spans="2:12" x14ac:dyDescent="0.25">
      <c r="B106" s="27">
        <v>45031</v>
      </c>
      <c r="C106" s="28" t="s">
        <v>37</v>
      </c>
      <c r="D106" s="28">
        <v>2023</v>
      </c>
      <c r="E106" s="28" t="s">
        <v>14</v>
      </c>
      <c r="F106" s="28">
        <v>3</v>
      </c>
      <c r="G106" s="28" t="s">
        <v>84</v>
      </c>
      <c r="H106" s="28" t="s">
        <v>16</v>
      </c>
      <c r="I106" s="28" t="s">
        <v>16</v>
      </c>
      <c r="J106" s="28" t="s">
        <v>16</v>
      </c>
      <c r="K106" s="28" t="s">
        <v>76</v>
      </c>
      <c r="L106" s="29">
        <f t="shared" si="2"/>
        <v>27.27</v>
      </c>
    </row>
    <row r="107" spans="2:12" x14ac:dyDescent="0.25">
      <c r="B107" s="27">
        <v>45032</v>
      </c>
      <c r="C107" s="28" t="s">
        <v>37</v>
      </c>
      <c r="D107" s="28">
        <v>2023</v>
      </c>
      <c r="E107" s="28" t="s">
        <v>15</v>
      </c>
      <c r="F107" s="28">
        <v>2</v>
      </c>
      <c r="G107" s="28" t="s">
        <v>111</v>
      </c>
      <c r="H107" s="28" t="s">
        <v>16</v>
      </c>
      <c r="I107" s="28" t="s">
        <v>16</v>
      </c>
      <c r="J107" s="28" t="s">
        <v>16</v>
      </c>
      <c r="K107" s="28" t="s">
        <v>78</v>
      </c>
      <c r="L107" s="29">
        <f t="shared" si="2"/>
        <v>18.18</v>
      </c>
    </row>
    <row r="108" spans="2:12" x14ac:dyDescent="0.25">
      <c r="B108" s="27">
        <v>45033</v>
      </c>
      <c r="C108" s="28" t="s">
        <v>37</v>
      </c>
      <c r="D108" s="28">
        <v>2023</v>
      </c>
      <c r="E108" s="28" t="s">
        <v>14</v>
      </c>
      <c r="F108" s="28">
        <v>26</v>
      </c>
      <c r="G108" s="28" t="s">
        <v>93</v>
      </c>
      <c r="H108" s="28" t="s">
        <v>16</v>
      </c>
      <c r="I108" s="28" t="s">
        <v>16</v>
      </c>
      <c r="J108" s="28" t="s">
        <v>16</v>
      </c>
      <c r="K108" s="28" t="s">
        <v>83</v>
      </c>
      <c r="L108" s="29">
        <f t="shared" si="2"/>
        <v>236.34</v>
      </c>
    </row>
    <row r="109" spans="2:12" x14ac:dyDescent="0.25">
      <c r="B109" s="27">
        <v>45033</v>
      </c>
      <c r="C109" s="28" t="s">
        <v>37</v>
      </c>
      <c r="D109" s="28">
        <v>2023</v>
      </c>
      <c r="E109" s="28" t="s">
        <v>14</v>
      </c>
      <c r="F109" s="28">
        <v>2</v>
      </c>
      <c r="G109" s="28" t="s">
        <v>97</v>
      </c>
      <c r="H109" s="28" t="s">
        <v>16</v>
      </c>
      <c r="I109" s="28" t="s">
        <v>16</v>
      </c>
      <c r="J109" s="28" t="s">
        <v>16</v>
      </c>
      <c r="K109" s="28" t="s">
        <v>78</v>
      </c>
      <c r="L109" s="29">
        <f t="shared" si="2"/>
        <v>18.18</v>
      </c>
    </row>
    <row r="110" spans="2:12" x14ac:dyDescent="0.25">
      <c r="B110" s="27">
        <v>45033</v>
      </c>
      <c r="C110" s="28" t="s">
        <v>37</v>
      </c>
      <c r="D110" s="28">
        <v>2023</v>
      </c>
      <c r="E110" s="28" t="s">
        <v>14</v>
      </c>
      <c r="F110" s="28">
        <v>1</v>
      </c>
      <c r="G110" s="28" t="s">
        <v>111</v>
      </c>
      <c r="H110" s="28" t="s">
        <v>16</v>
      </c>
      <c r="I110" s="28" t="s">
        <v>16</v>
      </c>
      <c r="J110" s="28" t="s">
        <v>16</v>
      </c>
      <c r="K110" s="28" t="s">
        <v>78</v>
      </c>
      <c r="L110" s="29">
        <f t="shared" si="2"/>
        <v>9.09</v>
      </c>
    </row>
    <row r="111" spans="2:12" x14ac:dyDescent="0.25">
      <c r="B111" s="27">
        <v>45033</v>
      </c>
      <c r="C111" s="28" t="s">
        <v>37</v>
      </c>
      <c r="D111" s="28">
        <v>2023</v>
      </c>
      <c r="E111" s="28" t="s">
        <v>15</v>
      </c>
      <c r="F111" s="28">
        <v>1</v>
      </c>
      <c r="G111" s="28" t="s">
        <v>111</v>
      </c>
      <c r="H111" s="28" t="s">
        <v>16</v>
      </c>
      <c r="I111" s="28" t="s">
        <v>16</v>
      </c>
      <c r="J111" s="28" t="s">
        <v>16</v>
      </c>
      <c r="K111" s="28" t="s">
        <v>78</v>
      </c>
      <c r="L111" s="29">
        <f t="shared" si="2"/>
        <v>9.09</v>
      </c>
    </row>
    <row r="112" spans="2:12" x14ac:dyDescent="0.25">
      <c r="B112" s="27">
        <v>45034</v>
      </c>
      <c r="C112" s="28" t="s">
        <v>37</v>
      </c>
      <c r="D112" s="28">
        <v>2023</v>
      </c>
      <c r="E112" s="28" t="s">
        <v>15</v>
      </c>
      <c r="F112" s="28">
        <v>2</v>
      </c>
      <c r="G112" s="28" t="s">
        <v>99</v>
      </c>
      <c r="H112" s="28" t="s">
        <v>16</v>
      </c>
      <c r="I112" s="28" t="s">
        <v>16</v>
      </c>
      <c r="J112" s="28" t="s">
        <v>16</v>
      </c>
      <c r="K112" s="28" t="s">
        <v>83</v>
      </c>
      <c r="L112" s="29">
        <f t="shared" si="2"/>
        <v>18.18</v>
      </c>
    </row>
    <row r="113" spans="2:12" x14ac:dyDescent="0.25">
      <c r="B113" s="27">
        <v>45034</v>
      </c>
      <c r="C113" s="28" t="s">
        <v>37</v>
      </c>
      <c r="D113" s="28">
        <v>2023</v>
      </c>
      <c r="E113" s="28" t="s">
        <v>15</v>
      </c>
      <c r="F113" s="28">
        <v>1</v>
      </c>
      <c r="G113" s="28" t="s">
        <v>111</v>
      </c>
      <c r="H113" s="28" t="s">
        <v>16</v>
      </c>
      <c r="I113" s="28" t="s">
        <v>16</v>
      </c>
      <c r="J113" s="28" t="s">
        <v>16</v>
      </c>
      <c r="K113" s="28" t="s">
        <v>75</v>
      </c>
      <c r="L113" s="29">
        <f t="shared" si="2"/>
        <v>9.09</v>
      </c>
    </row>
    <row r="114" spans="2:12" x14ac:dyDescent="0.25">
      <c r="B114" s="27">
        <v>45034</v>
      </c>
      <c r="C114" s="28" t="s">
        <v>37</v>
      </c>
      <c r="D114" s="28">
        <v>2023</v>
      </c>
      <c r="E114" s="28" t="s">
        <v>14</v>
      </c>
      <c r="F114" s="28">
        <v>1</v>
      </c>
      <c r="G114" s="28" t="s">
        <v>111</v>
      </c>
      <c r="H114" s="28" t="s">
        <v>16</v>
      </c>
      <c r="I114" s="28" t="s">
        <v>16</v>
      </c>
      <c r="J114" s="28" t="s">
        <v>16</v>
      </c>
      <c r="K114" s="28" t="s">
        <v>75</v>
      </c>
      <c r="L114" s="29">
        <f t="shared" si="2"/>
        <v>9.09</v>
      </c>
    </row>
    <row r="115" spans="2:12" x14ac:dyDescent="0.25">
      <c r="B115" s="27">
        <v>45034</v>
      </c>
      <c r="C115" s="28" t="s">
        <v>37</v>
      </c>
      <c r="D115" s="28">
        <v>2023</v>
      </c>
      <c r="E115" s="28" t="s">
        <v>14</v>
      </c>
      <c r="F115" s="28">
        <v>26</v>
      </c>
      <c r="G115" s="28" t="s">
        <v>93</v>
      </c>
      <c r="H115" s="28" t="s">
        <v>16</v>
      </c>
      <c r="I115" s="28" t="s">
        <v>16</v>
      </c>
      <c r="J115" s="28" t="s">
        <v>16</v>
      </c>
      <c r="K115" s="28" t="s">
        <v>83</v>
      </c>
      <c r="L115" s="29">
        <f t="shared" si="2"/>
        <v>236.34</v>
      </c>
    </row>
    <row r="116" spans="2:12" x14ac:dyDescent="0.25">
      <c r="B116" s="27">
        <v>45035</v>
      </c>
      <c r="C116" s="28" t="s">
        <v>37</v>
      </c>
      <c r="D116" s="28">
        <v>2023</v>
      </c>
      <c r="E116" s="28" t="s">
        <v>14</v>
      </c>
      <c r="F116" s="28">
        <v>2</v>
      </c>
      <c r="G116" s="28" t="s">
        <v>111</v>
      </c>
      <c r="H116" s="28" t="s">
        <v>16</v>
      </c>
      <c r="I116" s="28" t="s">
        <v>16</v>
      </c>
      <c r="J116" s="28" t="s">
        <v>16</v>
      </c>
      <c r="K116" s="28" t="s">
        <v>83</v>
      </c>
      <c r="L116" s="29">
        <f t="shared" si="2"/>
        <v>18.18</v>
      </c>
    </row>
    <row r="117" spans="2:12" x14ac:dyDescent="0.25">
      <c r="B117" s="27">
        <v>45037</v>
      </c>
      <c r="C117" s="28" t="s">
        <v>37</v>
      </c>
      <c r="D117" s="28">
        <v>2023</v>
      </c>
      <c r="E117" s="28" t="s">
        <v>14</v>
      </c>
      <c r="F117" s="28">
        <v>26</v>
      </c>
      <c r="G117" s="28" t="s">
        <v>94</v>
      </c>
      <c r="H117" s="28" t="s">
        <v>16</v>
      </c>
      <c r="I117" s="28" t="s">
        <v>16</v>
      </c>
      <c r="J117" s="28" t="s">
        <v>16</v>
      </c>
      <c r="K117" s="28" t="s">
        <v>83</v>
      </c>
      <c r="L117" s="29">
        <f t="shared" si="2"/>
        <v>236.34</v>
      </c>
    </row>
    <row r="118" spans="2:12" x14ac:dyDescent="0.25">
      <c r="B118" s="27">
        <v>45037</v>
      </c>
      <c r="C118" s="28" t="s">
        <v>37</v>
      </c>
      <c r="D118" s="28">
        <v>2023</v>
      </c>
      <c r="E118" s="28" t="s">
        <v>14</v>
      </c>
      <c r="F118" s="28">
        <v>2</v>
      </c>
      <c r="G118" s="28" t="s">
        <v>93</v>
      </c>
      <c r="H118" s="28" t="s">
        <v>16</v>
      </c>
      <c r="I118" s="28" t="s">
        <v>16</v>
      </c>
      <c r="J118" s="28" t="s">
        <v>16</v>
      </c>
      <c r="K118" s="28" t="s">
        <v>78</v>
      </c>
      <c r="L118" s="29">
        <f t="shared" si="2"/>
        <v>18.18</v>
      </c>
    </row>
    <row r="119" spans="2:12" x14ac:dyDescent="0.25">
      <c r="B119" s="27">
        <v>45037</v>
      </c>
      <c r="C119" s="28" t="s">
        <v>37</v>
      </c>
      <c r="D119" s="28">
        <v>2023</v>
      </c>
      <c r="E119" s="28" t="s">
        <v>14</v>
      </c>
      <c r="F119" s="28">
        <v>26</v>
      </c>
      <c r="G119" s="28" t="s">
        <v>93</v>
      </c>
      <c r="H119" s="28" t="s">
        <v>16</v>
      </c>
      <c r="I119" s="28" t="s">
        <v>16</v>
      </c>
      <c r="J119" s="28" t="s">
        <v>16</v>
      </c>
      <c r="K119" s="28" t="s">
        <v>78</v>
      </c>
      <c r="L119" s="29">
        <f t="shared" ref="L119:L182" si="3">F119*9.09</f>
        <v>236.34</v>
      </c>
    </row>
    <row r="120" spans="2:12" x14ac:dyDescent="0.25">
      <c r="B120" s="27">
        <v>45038</v>
      </c>
      <c r="C120" s="28" t="s">
        <v>37</v>
      </c>
      <c r="D120" s="28">
        <v>2023</v>
      </c>
      <c r="E120" s="28" t="s">
        <v>14</v>
      </c>
      <c r="F120" s="28">
        <v>8</v>
      </c>
      <c r="G120" s="28" t="s">
        <v>93</v>
      </c>
      <c r="H120" s="28" t="s">
        <v>16</v>
      </c>
      <c r="I120" s="28" t="s">
        <v>16</v>
      </c>
      <c r="J120" s="28" t="s">
        <v>16</v>
      </c>
      <c r="K120" s="28" t="s">
        <v>83</v>
      </c>
      <c r="L120" s="29">
        <f t="shared" si="3"/>
        <v>72.72</v>
      </c>
    </row>
    <row r="121" spans="2:12" x14ac:dyDescent="0.25">
      <c r="B121" s="27">
        <v>45039</v>
      </c>
      <c r="C121" s="28" t="s">
        <v>37</v>
      </c>
      <c r="D121" s="28">
        <v>2023</v>
      </c>
      <c r="E121" s="28" t="s">
        <v>14</v>
      </c>
      <c r="F121" s="28">
        <v>26</v>
      </c>
      <c r="G121" s="28" t="s">
        <v>97</v>
      </c>
      <c r="H121" s="28" t="s">
        <v>16</v>
      </c>
      <c r="I121" s="28" t="s">
        <v>16</v>
      </c>
      <c r="J121" s="28" t="s">
        <v>16</v>
      </c>
      <c r="K121" s="28" t="s">
        <v>78</v>
      </c>
      <c r="L121" s="29">
        <f t="shared" si="3"/>
        <v>236.34</v>
      </c>
    </row>
    <row r="122" spans="2:12" x14ac:dyDescent="0.25">
      <c r="B122" s="27">
        <v>45039</v>
      </c>
      <c r="C122" s="28" t="s">
        <v>37</v>
      </c>
      <c r="D122" s="28">
        <v>2023</v>
      </c>
      <c r="E122" s="28" t="s">
        <v>15</v>
      </c>
      <c r="F122" s="28">
        <v>10</v>
      </c>
      <c r="G122" s="28" t="s">
        <v>111</v>
      </c>
      <c r="H122" s="28" t="s">
        <v>16</v>
      </c>
      <c r="I122" s="28" t="s">
        <v>16</v>
      </c>
      <c r="J122" s="28" t="s">
        <v>16</v>
      </c>
      <c r="K122" s="28" t="s">
        <v>74</v>
      </c>
      <c r="L122" s="29">
        <f t="shared" si="3"/>
        <v>90.9</v>
      </c>
    </row>
    <row r="123" spans="2:12" x14ac:dyDescent="0.25">
      <c r="B123" s="27">
        <v>45040</v>
      </c>
      <c r="C123" s="28" t="s">
        <v>37</v>
      </c>
      <c r="D123" s="28">
        <v>2023</v>
      </c>
      <c r="E123" s="28" t="s">
        <v>15</v>
      </c>
      <c r="F123" s="28">
        <v>7</v>
      </c>
      <c r="G123" s="28" t="s">
        <v>97</v>
      </c>
      <c r="H123" s="28" t="s">
        <v>16</v>
      </c>
      <c r="I123" s="28" t="s">
        <v>16</v>
      </c>
      <c r="J123" s="28" t="s">
        <v>16</v>
      </c>
      <c r="K123" s="28" t="s">
        <v>76</v>
      </c>
      <c r="L123" s="29">
        <f t="shared" si="3"/>
        <v>63.629999999999995</v>
      </c>
    </row>
    <row r="124" spans="2:12" x14ac:dyDescent="0.25">
      <c r="B124" s="27">
        <v>45041</v>
      </c>
      <c r="C124" s="28" t="s">
        <v>37</v>
      </c>
      <c r="D124" s="28">
        <v>2023</v>
      </c>
      <c r="E124" s="28" t="s">
        <v>14</v>
      </c>
      <c r="F124" s="28">
        <v>7</v>
      </c>
      <c r="G124" s="28" t="s">
        <v>94</v>
      </c>
      <c r="H124" s="28" t="s">
        <v>16</v>
      </c>
      <c r="I124" s="28" t="s">
        <v>16</v>
      </c>
      <c r="J124" s="28" t="s">
        <v>16</v>
      </c>
      <c r="K124" s="28" t="s">
        <v>78</v>
      </c>
      <c r="L124" s="29">
        <f t="shared" si="3"/>
        <v>63.629999999999995</v>
      </c>
    </row>
    <row r="125" spans="2:12" x14ac:dyDescent="0.25">
      <c r="B125" s="27">
        <v>45041</v>
      </c>
      <c r="C125" s="28" t="s">
        <v>37</v>
      </c>
      <c r="D125" s="28">
        <v>2023</v>
      </c>
      <c r="E125" s="28" t="s">
        <v>14</v>
      </c>
      <c r="F125" s="28">
        <v>7</v>
      </c>
      <c r="G125" s="28" t="s">
        <v>111</v>
      </c>
      <c r="H125" s="28" t="s">
        <v>16</v>
      </c>
      <c r="I125" s="28" t="s">
        <v>16</v>
      </c>
      <c r="J125" s="28" t="s">
        <v>16</v>
      </c>
      <c r="K125" s="28" t="s">
        <v>78</v>
      </c>
      <c r="L125" s="29">
        <f t="shared" si="3"/>
        <v>63.629999999999995</v>
      </c>
    </row>
    <row r="126" spans="2:12" x14ac:dyDescent="0.25">
      <c r="B126" s="27">
        <v>45043</v>
      </c>
      <c r="C126" s="28" t="s">
        <v>37</v>
      </c>
      <c r="D126" s="28">
        <v>2023</v>
      </c>
      <c r="E126" s="28" t="s">
        <v>14</v>
      </c>
      <c r="F126" s="28">
        <v>7</v>
      </c>
      <c r="G126" s="28" t="s">
        <v>93</v>
      </c>
      <c r="H126" s="28" t="s">
        <v>16</v>
      </c>
      <c r="I126" s="28" t="s">
        <v>16</v>
      </c>
      <c r="J126" s="28" t="s">
        <v>16</v>
      </c>
      <c r="K126" s="28" t="s">
        <v>78</v>
      </c>
      <c r="L126" s="29">
        <f t="shared" si="3"/>
        <v>63.629999999999995</v>
      </c>
    </row>
    <row r="127" spans="2:12" x14ac:dyDescent="0.25">
      <c r="B127" s="27">
        <v>45043</v>
      </c>
      <c r="C127" s="28" t="s">
        <v>37</v>
      </c>
      <c r="D127" s="28">
        <v>2023</v>
      </c>
      <c r="E127" s="28" t="s">
        <v>14</v>
      </c>
      <c r="F127" s="28">
        <v>16</v>
      </c>
      <c r="G127" s="28" t="s">
        <v>94</v>
      </c>
      <c r="H127" s="28" t="s">
        <v>16</v>
      </c>
      <c r="I127" s="28" t="s">
        <v>16</v>
      </c>
      <c r="J127" s="28" t="s">
        <v>16</v>
      </c>
      <c r="K127" s="28" t="s">
        <v>78</v>
      </c>
      <c r="L127" s="29">
        <f t="shared" si="3"/>
        <v>145.44</v>
      </c>
    </row>
    <row r="128" spans="2:12" x14ac:dyDescent="0.25">
      <c r="B128" s="27">
        <v>45044</v>
      </c>
      <c r="C128" s="28" t="s">
        <v>37</v>
      </c>
      <c r="D128" s="28">
        <v>2023</v>
      </c>
      <c r="E128" s="28" t="s">
        <v>14</v>
      </c>
      <c r="F128" s="28">
        <v>2</v>
      </c>
      <c r="G128" s="28" t="s">
        <v>84</v>
      </c>
      <c r="H128" s="28" t="s">
        <v>16</v>
      </c>
      <c r="I128" s="28" t="s">
        <v>16</v>
      </c>
      <c r="J128" s="28" t="s">
        <v>16</v>
      </c>
      <c r="K128" s="28" t="s">
        <v>78</v>
      </c>
      <c r="L128" s="29">
        <f t="shared" si="3"/>
        <v>18.18</v>
      </c>
    </row>
    <row r="129" spans="2:14" x14ac:dyDescent="0.25">
      <c r="B129" s="27">
        <v>45046</v>
      </c>
      <c r="C129" s="28" t="s">
        <v>37</v>
      </c>
      <c r="D129" s="28">
        <v>2023</v>
      </c>
      <c r="E129" s="28" t="s">
        <v>15</v>
      </c>
      <c r="F129" s="28">
        <v>4</v>
      </c>
      <c r="G129" s="28" t="s">
        <v>93</v>
      </c>
      <c r="H129" s="28" t="s">
        <v>16</v>
      </c>
      <c r="I129" s="28" t="s">
        <v>16</v>
      </c>
      <c r="J129" s="28" t="s">
        <v>16</v>
      </c>
      <c r="K129" s="28" t="s">
        <v>75</v>
      </c>
      <c r="L129" s="29">
        <f t="shared" si="3"/>
        <v>36.36</v>
      </c>
    </row>
    <row r="130" spans="2:14" x14ac:dyDescent="0.25">
      <c r="B130" s="27">
        <v>45046</v>
      </c>
      <c r="C130" s="28" t="s">
        <v>37</v>
      </c>
      <c r="D130" s="28">
        <v>2023</v>
      </c>
      <c r="E130" s="28" t="s">
        <v>15</v>
      </c>
      <c r="F130" s="28">
        <v>1</v>
      </c>
      <c r="G130" s="28" t="s">
        <v>97</v>
      </c>
      <c r="H130" s="28" t="s">
        <v>16</v>
      </c>
      <c r="I130" s="28" t="s">
        <v>16</v>
      </c>
      <c r="J130" s="28" t="s">
        <v>16</v>
      </c>
      <c r="K130" s="28" t="s">
        <v>83</v>
      </c>
      <c r="L130" s="29">
        <f t="shared" si="3"/>
        <v>9.09</v>
      </c>
      <c r="N130" s="24"/>
    </row>
    <row r="131" spans="2:14" x14ac:dyDescent="0.25">
      <c r="B131" s="27">
        <v>45046</v>
      </c>
      <c r="C131" s="28" t="s">
        <v>37</v>
      </c>
      <c r="D131" s="28">
        <v>2023</v>
      </c>
      <c r="E131" s="28" t="s">
        <v>15</v>
      </c>
      <c r="F131" s="28">
        <v>6</v>
      </c>
      <c r="G131" s="28" t="s">
        <v>85</v>
      </c>
      <c r="H131" s="28" t="s">
        <v>16</v>
      </c>
      <c r="I131" s="28" t="s">
        <v>16</v>
      </c>
      <c r="J131" s="28" t="s">
        <v>16</v>
      </c>
      <c r="K131" s="28" t="s">
        <v>83</v>
      </c>
      <c r="L131" s="29">
        <f t="shared" si="3"/>
        <v>54.54</v>
      </c>
      <c r="N131" s="24"/>
    </row>
    <row r="132" spans="2:14" x14ac:dyDescent="0.25">
      <c r="B132" s="27">
        <v>45046</v>
      </c>
      <c r="C132" s="28" t="s">
        <v>37</v>
      </c>
      <c r="D132" s="28">
        <v>2023</v>
      </c>
      <c r="E132" s="28" t="s">
        <v>14</v>
      </c>
      <c r="F132" s="28">
        <v>2</v>
      </c>
      <c r="G132" s="28" t="s">
        <v>94</v>
      </c>
      <c r="H132" s="28" t="s">
        <v>16</v>
      </c>
      <c r="I132" s="28" t="s">
        <v>16</v>
      </c>
      <c r="J132" s="28" t="s">
        <v>16</v>
      </c>
      <c r="K132" s="28" t="s">
        <v>75</v>
      </c>
      <c r="L132" s="29">
        <f t="shared" si="3"/>
        <v>18.18</v>
      </c>
      <c r="N132" s="24"/>
    </row>
    <row r="133" spans="2:14" x14ac:dyDescent="0.25">
      <c r="B133" s="27">
        <v>45046</v>
      </c>
      <c r="C133" s="28" t="s">
        <v>37</v>
      </c>
      <c r="D133" s="28">
        <v>2023</v>
      </c>
      <c r="E133" s="28" t="s">
        <v>14</v>
      </c>
      <c r="F133" s="28">
        <v>28</v>
      </c>
      <c r="G133" s="28" t="s">
        <v>93</v>
      </c>
      <c r="H133" s="28" t="s">
        <v>16</v>
      </c>
      <c r="I133" s="28" t="s">
        <v>16</v>
      </c>
      <c r="J133" s="28" t="s">
        <v>16</v>
      </c>
      <c r="K133" s="28" t="s">
        <v>75</v>
      </c>
      <c r="L133" s="29">
        <f t="shared" si="3"/>
        <v>254.51999999999998</v>
      </c>
      <c r="N133" s="24"/>
    </row>
    <row r="134" spans="2:14" x14ac:dyDescent="0.25">
      <c r="B134" s="27">
        <v>45048</v>
      </c>
      <c r="C134" s="28" t="s">
        <v>38</v>
      </c>
      <c r="D134" s="28">
        <v>2023</v>
      </c>
      <c r="E134" s="28" t="s">
        <v>15</v>
      </c>
      <c r="F134" s="28">
        <v>5</v>
      </c>
      <c r="G134" s="28" t="s">
        <v>94</v>
      </c>
      <c r="H134" s="28" t="s">
        <v>16</v>
      </c>
      <c r="I134" s="28" t="s">
        <v>16</v>
      </c>
      <c r="J134" s="28" t="s">
        <v>16</v>
      </c>
      <c r="K134" s="28" t="s">
        <v>76</v>
      </c>
      <c r="L134" s="29">
        <f t="shared" si="3"/>
        <v>45.45</v>
      </c>
    </row>
    <row r="135" spans="2:14" x14ac:dyDescent="0.25">
      <c r="B135" s="27">
        <v>45048</v>
      </c>
      <c r="C135" s="28" t="s">
        <v>38</v>
      </c>
      <c r="D135" s="28">
        <v>2023</v>
      </c>
      <c r="E135" s="28" t="s">
        <v>15</v>
      </c>
      <c r="F135" s="28">
        <v>5</v>
      </c>
      <c r="G135" s="28" t="s">
        <v>94</v>
      </c>
      <c r="H135" s="28" t="s">
        <v>16</v>
      </c>
      <c r="I135" s="28" t="s">
        <v>16</v>
      </c>
      <c r="J135" s="28" t="s">
        <v>16</v>
      </c>
      <c r="K135" s="28" t="s">
        <v>75</v>
      </c>
      <c r="L135" s="29">
        <f t="shared" si="3"/>
        <v>45.45</v>
      </c>
    </row>
    <row r="136" spans="2:14" x14ac:dyDescent="0.25">
      <c r="B136" s="27">
        <v>45048</v>
      </c>
      <c r="C136" s="28" t="s">
        <v>38</v>
      </c>
      <c r="D136" s="28">
        <v>2023</v>
      </c>
      <c r="E136" s="28" t="s">
        <v>14</v>
      </c>
      <c r="F136" s="28">
        <v>26</v>
      </c>
      <c r="G136" s="28" t="s">
        <v>93</v>
      </c>
      <c r="H136" s="28" t="s">
        <v>16</v>
      </c>
      <c r="I136" s="28" t="s">
        <v>16</v>
      </c>
      <c r="J136" s="28" t="s">
        <v>16</v>
      </c>
      <c r="K136" s="28" t="s">
        <v>75</v>
      </c>
      <c r="L136" s="29">
        <f t="shared" si="3"/>
        <v>236.34</v>
      </c>
    </row>
    <row r="137" spans="2:14" x14ac:dyDescent="0.25">
      <c r="B137" s="27">
        <v>45048</v>
      </c>
      <c r="C137" s="28" t="s">
        <v>38</v>
      </c>
      <c r="D137" s="28">
        <v>2023</v>
      </c>
      <c r="E137" s="28" t="s">
        <v>14</v>
      </c>
      <c r="F137" s="28">
        <v>2</v>
      </c>
      <c r="G137" s="28" t="s">
        <v>99</v>
      </c>
      <c r="H137" s="28" t="s">
        <v>16</v>
      </c>
      <c r="I137" s="28" t="s">
        <v>16</v>
      </c>
      <c r="J137" s="28" t="s">
        <v>16</v>
      </c>
      <c r="K137" s="28" t="s">
        <v>75</v>
      </c>
      <c r="L137" s="29">
        <f t="shared" si="3"/>
        <v>18.18</v>
      </c>
    </row>
    <row r="138" spans="2:14" x14ac:dyDescent="0.25">
      <c r="B138" s="27">
        <v>45048</v>
      </c>
      <c r="C138" s="28" t="s">
        <v>38</v>
      </c>
      <c r="D138" s="28">
        <v>2023</v>
      </c>
      <c r="E138" s="28" t="s">
        <v>15</v>
      </c>
      <c r="F138" s="28">
        <v>1</v>
      </c>
      <c r="G138" s="28" t="s">
        <v>99</v>
      </c>
      <c r="H138" s="28" t="s">
        <v>16</v>
      </c>
      <c r="I138" s="28" t="s">
        <v>16</v>
      </c>
      <c r="J138" s="28" t="s">
        <v>16</v>
      </c>
      <c r="K138" s="28" t="s">
        <v>75</v>
      </c>
      <c r="L138" s="29">
        <f t="shared" si="3"/>
        <v>9.09</v>
      </c>
    </row>
    <row r="139" spans="2:14" x14ac:dyDescent="0.25">
      <c r="B139" s="27">
        <v>45048</v>
      </c>
      <c r="C139" s="28" t="s">
        <v>38</v>
      </c>
      <c r="D139" s="28">
        <v>2023</v>
      </c>
      <c r="E139" s="28" t="s">
        <v>14</v>
      </c>
      <c r="F139" s="28">
        <v>5</v>
      </c>
      <c r="G139" s="28" t="s">
        <v>111</v>
      </c>
      <c r="H139" s="28" t="s">
        <v>16</v>
      </c>
      <c r="I139" s="28" t="s">
        <v>16</v>
      </c>
      <c r="J139" s="28" t="s">
        <v>16</v>
      </c>
      <c r="K139" s="28" t="s">
        <v>75</v>
      </c>
      <c r="L139" s="29">
        <f t="shared" si="3"/>
        <v>45.45</v>
      </c>
    </row>
    <row r="140" spans="2:14" x14ac:dyDescent="0.25">
      <c r="B140" s="27">
        <v>45048</v>
      </c>
      <c r="C140" s="28" t="s">
        <v>38</v>
      </c>
      <c r="D140" s="28">
        <v>2023</v>
      </c>
      <c r="E140" s="28" t="s">
        <v>15</v>
      </c>
      <c r="F140" s="28">
        <v>8</v>
      </c>
      <c r="G140" s="28" t="s">
        <v>94</v>
      </c>
      <c r="H140" s="28" t="s">
        <v>16</v>
      </c>
      <c r="I140" s="28" t="s">
        <v>16</v>
      </c>
      <c r="J140" s="28" t="s">
        <v>16</v>
      </c>
      <c r="K140" s="28" t="s">
        <v>75</v>
      </c>
      <c r="L140" s="29">
        <f t="shared" si="3"/>
        <v>72.72</v>
      </c>
    </row>
    <row r="141" spans="2:14" x14ac:dyDescent="0.25">
      <c r="B141" s="27">
        <v>45049</v>
      </c>
      <c r="C141" s="28" t="s">
        <v>38</v>
      </c>
      <c r="D141" s="28">
        <v>2023</v>
      </c>
      <c r="E141" s="28" t="s">
        <v>15</v>
      </c>
      <c r="F141" s="28">
        <v>7</v>
      </c>
      <c r="G141" s="28" t="s">
        <v>111</v>
      </c>
      <c r="H141" s="28" t="s">
        <v>16</v>
      </c>
      <c r="I141" s="28" t="s">
        <v>16</v>
      </c>
      <c r="J141" s="28" t="s">
        <v>16</v>
      </c>
      <c r="K141" s="28" t="s">
        <v>76</v>
      </c>
      <c r="L141" s="29">
        <f t="shared" si="3"/>
        <v>63.629999999999995</v>
      </c>
    </row>
    <row r="142" spans="2:14" x14ac:dyDescent="0.25">
      <c r="B142" s="27">
        <v>45049</v>
      </c>
      <c r="C142" s="28" t="s">
        <v>38</v>
      </c>
      <c r="D142" s="28">
        <v>2023</v>
      </c>
      <c r="E142" s="28" t="s">
        <v>15</v>
      </c>
      <c r="F142" s="28">
        <v>3</v>
      </c>
      <c r="G142" s="28" t="s">
        <v>94</v>
      </c>
      <c r="H142" s="28" t="s">
        <v>16</v>
      </c>
      <c r="I142" s="28" t="s">
        <v>16</v>
      </c>
      <c r="J142" s="28" t="s">
        <v>16</v>
      </c>
      <c r="K142" s="28" t="s">
        <v>75</v>
      </c>
      <c r="L142" s="29">
        <f t="shared" si="3"/>
        <v>27.27</v>
      </c>
    </row>
    <row r="143" spans="2:14" x14ac:dyDescent="0.25">
      <c r="B143" s="27">
        <v>45049</v>
      </c>
      <c r="C143" s="28" t="s">
        <v>38</v>
      </c>
      <c r="D143" s="28">
        <v>2023</v>
      </c>
      <c r="E143" s="28" t="s">
        <v>15</v>
      </c>
      <c r="F143" s="28">
        <v>2</v>
      </c>
      <c r="G143" s="28" t="s">
        <v>97</v>
      </c>
      <c r="H143" s="28" t="s">
        <v>16</v>
      </c>
      <c r="I143" s="28" t="s">
        <v>16</v>
      </c>
      <c r="J143" s="28" t="s">
        <v>16</v>
      </c>
      <c r="K143" s="28" t="s">
        <v>83</v>
      </c>
      <c r="L143" s="29">
        <f t="shared" si="3"/>
        <v>18.18</v>
      </c>
    </row>
    <row r="144" spans="2:14" x14ac:dyDescent="0.25">
      <c r="B144" s="27">
        <v>45050</v>
      </c>
      <c r="C144" s="28" t="s">
        <v>38</v>
      </c>
      <c r="D144" s="28">
        <v>2023</v>
      </c>
      <c r="E144" s="28" t="s">
        <v>15</v>
      </c>
      <c r="F144" s="28">
        <v>2</v>
      </c>
      <c r="G144" s="28" t="s">
        <v>111</v>
      </c>
      <c r="H144" s="28" t="s">
        <v>16</v>
      </c>
      <c r="I144" s="28" t="s">
        <v>16</v>
      </c>
      <c r="J144" s="28" t="s">
        <v>16</v>
      </c>
      <c r="K144" s="28" t="s">
        <v>73</v>
      </c>
      <c r="L144" s="29">
        <f t="shared" si="3"/>
        <v>18.18</v>
      </c>
    </row>
    <row r="145" spans="2:12" x14ac:dyDescent="0.25">
      <c r="B145" s="27">
        <v>45051</v>
      </c>
      <c r="C145" s="28" t="s">
        <v>38</v>
      </c>
      <c r="D145" s="28">
        <v>2023</v>
      </c>
      <c r="E145" s="28" t="s">
        <v>15</v>
      </c>
      <c r="F145" s="28">
        <v>26</v>
      </c>
      <c r="G145" s="28" t="s">
        <v>93</v>
      </c>
      <c r="H145" s="28" t="s">
        <v>16</v>
      </c>
      <c r="I145" s="28" t="s">
        <v>16</v>
      </c>
      <c r="J145" s="28" t="s">
        <v>16</v>
      </c>
      <c r="K145" s="28" t="s">
        <v>76</v>
      </c>
      <c r="L145" s="29">
        <f t="shared" si="3"/>
        <v>236.34</v>
      </c>
    </row>
    <row r="146" spans="2:12" x14ac:dyDescent="0.25">
      <c r="B146" s="27">
        <v>45051</v>
      </c>
      <c r="C146" s="28" t="s">
        <v>38</v>
      </c>
      <c r="D146" s="28">
        <v>2023</v>
      </c>
      <c r="E146" s="28" t="s">
        <v>15</v>
      </c>
      <c r="F146" s="28">
        <v>5</v>
      </c>
      <c r="G146" s="28" t="s">
        <v>85</v>
      </c>
      <c r="H146" s="28" t="s">
        <v>16</v>
      </c>
      <c r="I146" s="28" t="s">
        <v>16</v>
      </c>
      <c r="J146" s="28" t="s">
        <v>16</v>
      </c>
      <c r="K146" s="28" t="s">
        <v>78</v>
      </c>
      <c r="L146" s="29">
        <f t="shared" si="3"/>
        <v>45.45</v>
      </c>
    </row>
    <row r="147" spans="2:12" x14ac:dyDescent="0.25">
      <c r="B147" s="27">
        <v>45051</v>
      </c>
      <c r="C147" s="28" t="s">
        <v>38</v>
      </c>
      <c r="D147" s="28">
        <v>2023</v>
      </c>
      <c r="E147" s="28" t="s">
        <v>14</v>
      </c>
      <c r="F147" s="28">
        <v>26</v>
      </c>
      <c r="G147" s="28" t="s">
        <v>93</v>
      </c>
      <c r="H147" s="28" t="s">
        <v>16</v>
      </c>
      <c r="I147" s="28" t="s">
        <v>16</v>
      </c>
      <c r="J147" s="28" t="s">
        <v>16</v>
      </c>
      <c r="K147" s="28" t="s">
        <v>78</v>
      </c>
      <c r="L147" s="29">
        <f t="shared" si="3"/>
        <v>236.34</v>
      </c>
    </row>
    <row r="148" spans="2:12" x14ac:dyDescent="0.25">
      <c r="B148" s="27">
        <v>45051</v>
      </c>
      <c r="C148" s="28" t="s">
        <v>38</v>
      </c>
      <c r="D148" s="28">
        <v>2023</v>
      </c>
      <c r="E148" s="28" t="s">
        <v>14</v>
      </c>
      <c r="F148" s="28">
        <v>26</v>
      </c>
      <c r="G148" s="28" t="s">
        <v>93</v>
      </c>
      <c r="H148" s="28" t="s">
        <v>16</v>
      </c>
      <c r="I148" s="28" t="s">
        <v>16</v>
      </c>
      <c r="J148" s="28" t="s">
        <v>16</v>
      </c>
      <c r="K148" s="28" t="s">
        <v>75</v>
      </c>
      <c r="L148" s="29">
        <f t="shared" si="3"/>
        <v>236.34</v>
      </c>
    </row>
    <row r="149" spans="2:12" x14ac:dyDescent="0.25">
      <c r="B149" s="27">
        <v>45051</v>
      </c>
      <c r="C149" s="28" t="s">
        <v>38</v>
      </c>
      <c r="D149" s="28">
        <v>2023</v>
      </c>
      <c r="E149" s="28" t="s">
        <v>14</v>
      </c>
      <c r="F149" s="28">
        <v>5</v>
      </c>
      <c r="G149" s="28" t="s">
        <v>97</v>
      </c>
      <c r="H149" s="28" t="s">
        <v>16</v>
      </c>
      <c r="I149" s="28" t="s">
        <v>16</v>
      </c>
      <c r="J149" s="28" t="s">
        <v>16</v>
      </c>
      <c r="K149" s="28" t="s">
        <v>75</v>
      </c>
      <c r="L149" s="29">
        <f t="shared" si="3"/>
        <v>45.45</v>
      </c>
    </row>
    <row r="150" spans="2:12" x14ac:dyDescent="0.25">
      <c r="B150" s="27">
        <v>45052</v>
      </c>
      <c r="C150" s="28" t="s">
        <v>38</v>
      </c>
      <c r="D150" s="28">
        <v>2023</v>
      </c>
      <c r="E150" s="28" t="s">
        <v>14</v>
      </c>
      <c r="F150" s="28">
        <v>24</v>
      </c>
      <c r="G150" s="28" t="s">
        <v>84</v>
      </c>
      <c r="H150" s="28" t="s">
        <v>16</v>
      </c>
      <c r="I150" s="28" t="s">
        <v>16</v>
      </c>
      <c r="J150" s="28" t="s">
        <v>16</v>
      </c>
      <c r="K150" s="28" t="s">
        <v>78</v>
      </c>
      <c r="L150" s="29">
        <f t="shared" si="3"/>
        <v>218.16</v>
      </c>
    </row>
    <row r="151" spans="2:12" x14ac:dyDescent="0.25">
      <c r="B151" s="27">
        <v>45052</v>
      </c>
      <c r="C151" s="28" t="s">
        <v>38</v>
      </c>
      <c r="D151" s="28">
        <v>2023</v>
      </c>
      <c r="E151" s="28" t="s">
        <v>14</v>
      </c>
      <c r="F151" s="28">
        <v>24</v>
      </c>
      <c r="G151" s="28" t="s">
        <v>84</v>
      </c>
      <c r="H151" s="28" t="s">
        <v>16</v>
      </c>
      <c r="I151" s="28" t="s">
        <v>16</v>
      </c>
      <c r="J151" s="28" t="s">
        <v>16</v>
      </c>
      <c r="K151" s="28" t="s">
        <v>78</v>
      </c>
      <c r="L151" s="29">
        <f t="shared" si="3"/>
        <v>218.16</v>
      </c>
    </row>
    <row r="152" spans="2:12" x14ac:dyDescent="0.25">
      <c r="B152" s="27">
        <v>45052</v>
      </c>
      <c r="C152" s="28" t="s">
        <v>38</v>
      </c>
      <c r="D152" s="28">
        <v>2023</v>
      </c>
      <c r="E152" s="28" t="s">
        <v>15</v>
      </c>
      <c r="F152" s="28">
        <v>4</v>
      </c>
      <c r="G152" s="28" t="s">
        <v>111</v>
      </c>
      <c r="H152" s="28" t="s">
        <v>16</v>
      </c>
      <c r="I152" s="28" t="s">
        <v>16</v>
      </c>
      <c r="J152" s="28" t="s">
        <v>16</v>
      </c>
      <c r="K152" s="28" t="s">
        <v>75</v>
      </c>
      <c r="L152" s="29">
        <f t="shared" si="3"/>
        <v>36.36</v>
      </c>
    </row>
    <row r="153" spans="2:12" x14ac:dyDescent="0.25">
      <c r="B153" s="27">
        <v>45053</v>
      </c>
      <c r="C153" s="28" t="s">
        <v>38</v>
      </c>
      <c r="D153" s="28">
        <v>2023</v>
      </c>
      <c r="E153" s="28" t="s">
        <v>14</v>
      </c>
      <c r="F153" s="28">
        <v>28</v>
      </c>
      <c r="G153" s="28" t="s">
        <v>93</v>
      </c>
      <c r="H153" s="28" t="s">
        <v>16</v>
      </c>
      <c r="I153" s="28" t="s">
        <v>16</v>
      </c>
      <c r="J153" s="28" t="s">
        <v>16</v>
      </c>
      <c r="K153" s="28" t="s">
        <v>78</v>
      </c>
      <c r="L153" s="29">
        <f t="shared" si="3"/>
        <v>254.51999999999998</v>
      </c>
    </row>
    <row r="154" spans="2:12" x14ac:dyDescent="0.25">
      <c r="B154" s="27">
        <v>45054</v>
      </c>
      <c r="C154" s="28" t="s">
        <v>38</v>
      </c>
      <c r="D154" s="28">
        <v>2023</v>
      </c>
      <c r="E154" s="28" t="s">
        <v>14</v>
      </c>
      <c r="F154" s="28">
        <v>5</v>
      </c>
      <c r="G154" s="28" t="s">
        <v>84</v>
      </c>
      <c r="H154" s="28" t="s">
        <v>16</v>
      </c>
      <c r="I154" s="28" t="s">
        <v>16</v>
      </c>
      <c r="J154" s="28" t="s">
        <v>16</v>
      </c>
      <c r="K154" s="28" t="s">
        <v>83</v>
      </c>
      <c r="L154" s="29">
        <f t="shared" si="3"/>
        <v>45.45</v>
      </c>
    </row>
    <row r="155" spans="2:12" x14ac:dyDescent="0.25">
      <c r="B155" s="27">
        <v>45055</v>
      </c>
      <c r="C155" s="28" t="s">
        <v>38</v>
      </c>
      <c r="D155" s="28">
        <v>2023</v>
      </c>
      <c r="E155" s="28" t="s">
        <v>14</v>
      </c>
      <c r="F155" s="28">
        <v>12</v>
      </c>
      <c r="G155" s="28" t="s">
        <v>97</v>
      </c>
      <c r="H155" s="28" t="s">
        <v>16</v>
      </c>
      <c r="I155" s="28" t="s">
        <v>16</v>
      </c>
      <c r="J155" s="28" t="s">
        <v>16</v>
      </c>
      <c r="K155" s="28" t="s">
        <v>83</v>
      </c>
      <c r="L155" s="29">
        <f t="shared" si="3"/>
        <v>109.08</v>
      </c>
    </row>
    <row r="156" spans="2:12" x14ac:dyDescent="0.25">
      <c r="B156" s="27">
        <v>45057</v>
      </c>
      <c r="C156" s="28" t="s">
        <v>38</v>
      </c>
      <c r="D156" s="28">
        <v>2023</v>
      </c>
      <c r="E156" s="28" t="s">
        <v>14</v>
      </c>
      <c r="F156" s="28">
        <v>28</v>
      </c>
      <c r="G156" s="28" t="s">
        <v>93</v>
      </c>
      <c r="H156" s="28" t="s">
        <v>16</v>
      </c>
      <c r="I156" s="28" t="s">
        <v>16</v>
      </c>
      <c r="J156" s="28" t="s">
        <v>16</v>
      </c>
      <c r="K156" s="28" t="s">
        <v>76</v>
      </c>
      <c r="L156" s="29">
        <f t="shared" si="3"/>
        <v>254.51999999999998</v>
      </c>
    </row>
    <row r="157" spans="2:12" x14ac:dyDescent="0.25">
      <c r="B157" s="27">
        <v>45057</v>
      </c>
      <c r="C157" s="28" t="s">
        <v>38</v>
      </c>
      <c r="D157" s="28">
        <v>2023</v>
      </c>
      <c r="E157" s="28" t="s">
        <v>14</v>
      </c>
      <c r="F157" s="28">
        <v>4</v>
      </c>
      <c r="G157" s="28" t="s">
        <v>97</v>
      </c>
      <c r="H157" s="28" t="s">
        <v>16</v>
      </c>
      <c r="I157" s="28" t="s">
        <v>16</v>
      </c>
      <c r="J157" s="28" t="s">
        <v>16</v>
      </c>
      <c r="K157" s="28" t="s">
        <v>83</v>
      </c>
      <c r="L157" s="29">
        <f t="shared" si="3"/>
        <v>36.36</v>
      </c>
    </row>
    <row r="158" spans="2:12" x14ac:dyDescent="0.25">
      <c r="B158" s="27">
        <v>45058</v>
      </c>
      <c r="C158" s="28" t="s">
        <v>38</v>
      </c>
      <c r="D158" s="28">
        <v>2023</v>
      </c>
      <c r="E158" s="28" t="s">
        <v>15</v>
      </c>
      <c r="F158" s="28">
        <v>6</v>
      </c>
      <c r="G158" s="28" t="s">
        <v>94</v>
      </c>
      <c r="H158" s="28" t="s">
        <v>16</v>
      </c>
      <c r="I158" s="28" t="s">
        <v>16</v>
      </c>
      <c r="J158" s="28" t="s">
        <v>16</v>
      </c>
      <c r="K158" s="28" t="s">
        <v>75</v>
      </c>
      <c r="L158" s="29">
        <f t="shared" si="3"/>
        <v>54.54</v>
      </c>
    </row>
    <row r="159" spans="2:12" x14ac:dyDescent="0.25">
      <c r="B159" s="27">
        <v>45059</v>
      </c>
      <c r="C159" s="28" t="s">
        <v>38</v>
      </c>
      <c r="D159" s="28">
        <v>2023</v>
      </c>
      <c r="E159" s="28" t="s">
        <v>14</v>
      </c>
      <c r="F159" s="28">
        <v>26</v>
      </c>
      <c r="G159" s="28" t="s">
        <v>85</v>
      </c>
      <c r="H159" s="28" t="s">
        <v>16</v>
      </c>
      <c r="I159" s="28" t="s">
        <v>16</v>
      </c>
      <c r="J159" s="28" t="s">
        <v>16</v>
      </c>
      <c r="K159" s="28" t="s">
        <v>73</v>
      </c>
      <c r="L159" s="29">
        <f t="shared" si="3"/>
        <v>236.34</v>
      </c>
    </row>
    <row r="160" spans="2:12" x14ac:dyDescent="0.25">
      <c r="B160" s="27">
        <v>45060</v>
      </c>
      <c r="C160" s="28" t="s">
        <v>38</v>
      </c>
      <c r="D160" s="28">
        <v>2023</v>
      </c>
      <c r="E160" s="28" t="s">
        <v>14</v>
      </c>
      <c r="F160" s="28">
        <v>5</v>
      </c>
      <c r="G160" s="28" t="s">
        <v>111</v>
      </c>
      <c r="H160" s="28" t="s">
        <v>16</v>
      </c>
      <c r="I160" s="28" t="s">
        <v>16</v>
      </c>
      <c r="J160" s="28" t="s">
        <v>16</v>
      </c>
      <c r="K160" s="28" t="s">
        <v>78</v>
      </c>
      <c r="L160" s="29">
        <f t="shared" si="3"/>
        <v>45.45</v>
      </c>
    </row>
    <row r="161" spans="2:12" x14ac:dyDescent="0.25">
      <c r="B161" s="27">
        <v>45060</v>
      </c>
      <c r="C161" s="28" t="s">
        <v>38</v>
      </c>
      <c r="D161" s="28">
        <v>2023</v>
      </c>
      <c r="E161" s="28" t="s">
        <v>15</v>
      </c>
      <c r="F161" s="28">
        <v>1</v>
      </c>
      <c r="G161" s="28" t="s">
        <v>111</v>
      </c>
      <c r="H161" s="28" t="s">
        <v>16</v>
      </c>
      <c r="I161" s="28" t="s">
        <v>16</v>
      </c>
      <c r="J161" s="28" t="s">
        <v>16</v>
      </c>
      <c r="K161" s="28" t="s">
        <v>79</v>
      </c>
      <c r="L161" s="29">
        <f t="shared" si="3"/>
        <v>9.09</v>
      </c>
    </row>
    <row r="162" spans="2:12" x14ac:dyDescent="0.25">
      <c r="B162" s="27">
        <v>45060</v>
      </c>
      <c r="C162" s="28" t="s">
        <v>38</v>
      </c>
      <c r="D162" s="28">
        <v>2023</v>
      </c>
      <c r="E162" s="28" t="s">
        <v>15</v>
      </c>
      <c r="F162" s="28">
        <v>6</v>
      </c>
      <c r="G162" s="28" t="s">
        <v>111</v>
      </c>
      <c r="H162" s="28" t="s">
        <v>16</v>
      </c>
      <c r="I162" s="28" t="s">
        <v>16</v>
      </c>
      <c r="J162" s="28" t="s">
        <v>16</v>
      </c>
      <c r="K162" s="28" t="s">
        <v>78</v>
      </c>
      <c r="L162" s="29">
        <f t="shared" si="3"/>
        <v>54.54</v>
      </c>
    </row>
    <row r="163" spans="2:12" x14ac:dyDescent="0.25">
      <c r="B163" s="27">
        <v>45061</v>
      </c>
      <c r="C163" s="28" t="s">
        <v>38</v>
      </c>
      <c r="D163" s="28">
        <v>2023</v>
      </c>
      <c r="E163" s="28" t="s">
        <v>15</v>
      </c>
      <c r="F163" s="28">
        <v>3</v>
      </c>
      <c r="G163" s="28" t="s">
        <v>111</v>
      </c>
      <c r="H163" s="28" t="s">
        <v>16</v>
      </c>
      <c r="I163" s="28" t="s">
        <v>16</v>
      </c>
      <c r="J163" s="28" t="s">
        <v>16</v>
      </c>
      <c r="K163" s="28" t="s">
        <v>83</v>
      </c>
      <c r="L163" s="29">
        <f t="shared" si="3"/>
        <v>27.27</v>
      </c>
    </row>
    <row r="164" spans="2:12" x14ac:dyDescent="0.25">
      <c r="B164" s="27">
        <v>45061</v>
      </c>
      <c r="C164" s="28" t="s">
        <v>38</v>
      </c>
      <c r="D164" s="28">
        <v>2023</v>
      </c>
      <c r="E164" s="28" t="s">
        <v>15</v>
      </c>
      <c r="F164" s="28">
        <v>4</v>
      </c>
      <c r="G164" s="28" t="s">
        <v>111</v>
      </c>
      <c r="H164" s="28" t="s">
        <v>16</v>
      </c>
      <c r="I164" s="28" t="s">
        <v>16</v>
      </c>
      <c r="J164" s="28" t="s">
        <v>16</v>
      </c>
      <c r="K164" s="28" t="s">
        <v>74</v>
      </c>
      <c r="L164" s="29">
        <f t="shared" si="3"/>
        <v>36.36</v>
      </c>
    </row>
    <row r="165" spans="2:12" x14ac:dyDescent="0.25">
      <c r="B165" s="27">
        <v>45061</v>
      </c>
      <c r="C165" s="28" t="s">
        <v>38</v>
      </c>
      <c r="D165" s="28">
        <v>2023</v>
      </c>
      <c r="E165" s="28" t="s">
        <v>14</v>
      </c>
      <c r="F165" s="28">
        <v>30</v>
      </c>
      <c r="G165" s="28" t="s">
        <v>93</v>
      </c>
      <c r="H165" s="28" t="s">
        <v>16</v>
      </c>
      <c r="I165" s="28" t="s">
        <v>16</v>
      </c>
      <c r="J165" s="28" t="s">
        <v>16</v>
      </c>
      <c r="K165" s="28" t="s">
        <v>79</v>
      </c>
      <c r="L165" s="29">
        <f t="shared" si="3"/>
        <v>272.7</v>
      </c>
    </row>
    <row r="166" spans="2:12" x14ac:dyDescent="0.25">
      <c r="B166" s="27">
        <v>45062</v>
      </c>
      <c r="C166" s="28" t="s">
        <v>38</v>
      </c>
      <c r="D166" s="28">
        <v>2023</v>
      </c>
      <c r="E166" s="28" t="s">
        <v>14</v>
      </c>
      <c r="F166" s="28">
        <v>2</v>
      </c>
      <c r="G166" s="28" t="s">
        <v>93</v>
      </c>
      <c r="H166" s="28" t="s">
        <v>16</v>
      </c>
      <c r="I166" s="28" t="s">
        <v>16</v>
      </c>
      <c r="J166" s="28" t="s">
        <v>16</v>
      </c>
      <c r="K166" s="28" t="s">
        <v>78</v>
      </c>
      <c r="L166" s="29">
        <f t="shared" si="3"/>
        <v>18.18</v>
      </c>
    </row>
    <row r="167" spans="2:12" x14ac:dyDescent="0.25">
      <c r="B167" s="27">
        <v>45062</v>
      </c>
      <c r="C167" s="28" t="s">
        <v>38</v>
      </c>
      <c r="D167" s="28">
        <v>2023</v>
      </c>
      <c r="E167" s="28" t="s">
        <v>14</v>
      </c>
      <c r="F167" s="28">
        <v>1</v>
      </c>
      <c r="G167" s="28" t="s">
        <v>94</v>
      </c>
      <c r="H167" s="28" t="s">
        <v>16</v>
      </c>
      <c r="I167" s="28" t="s">
        <v>16</v>
      </c>
      <c r="J167" s="28" t="s">
        <v>16</v>
      </c>
      <c r="K167" s="28" t="s">
        <v>78</v>
      </c>
      <c r="L167" s="29">
        <f t="shared" si="3"/>
        <v>9.09</v>
      </c>
    </row>
    <row r="168" spans="2:12" x14ac:dyDescent="0.25">
      <c r="B168" s="27">
        <v>45062</v>
      </c>
      <c r="C168" s="28" t="s">
        <v>38</v>
      </c>
      <c r="D168" s="28">
        <v>2023</v>
      </c>
      <c r="E168" s="28" t="s">
        <v>14</v>
      </c>
      <c r="F168" s="28">
        <v>26</v>
      </c>
      <c r="G168" s="28" t="s">
        <v>94</v>
      </c>
      <c r="H168" s="28" t="s">
        <v>16</v>
      </c>
      <c r="I168" s="28" t="s">
        <v>16</v>
      </c>
      <c r="J168" s="28" t="s">
        <v>16</v>
      </c>
      <c r="K168" s="28" t="s">
        <v>83</v>
      </c>
      <c r="L168" s="29">
        <f t="shared" si="3"/>
        <v>236.34</v>
      </c>
    </row>
    <row r="169" spans="2:12" x14ac:dyDescent="0.25">
      <c r="B169" s="27">
        <v>45062</v>
      </c>
      <c r="C169" s="28" t="s">
        <v>38</v>
      </c>
      <c r="D169" s="28">
        <v>2023</v>
      </c>
      <c r="E169" s="28" t="s">
        <v>14</v>
      </c>
      <c r="F169" s="28">
        <v>2</v>
      </c>
      <c r="G169" s="28" t="s">
        <v>97</v>
      </c>
      <c r="H169" s="28" t="s">
        <v>16</v>
      </c>
      <c r="I169" s="28" t="s">
        <v>16</v>
      </c>
      <c r="J169" s="28" t="s">
        <v>16</v>
      </c>
      <c r="K169" s="28" t="s">
        <v>83</v>
      </c>
      <c r="L169" s="29">
        <f t="shared" si="3"/>
        <v>18.18</v>
      </c>
    </row>
    <row r="170" spans="2:12" x14ac:dyDescent="0.25">
      <c r="B170" s="27">
        <v>45063</v>
      </c>
      <c r="C170" s="28" t="s">
        <v>38</v>
      </c>
      <c r="D170" s="28">
        <v>2023</v>
      </c>
      <c r="E170" s="28" t="s">
        <v>14</v>
      </c>
      <c r="F170" s="28">
        <v>8</v>
      </c>
      <c r="G170" s="28" t="s">
        <v>93</v>
      </c>
      <c r="H170" s="28" t="s">
        <v>16</v>
      </c>
      <c r="I170" s="28" t="s">
        <v>16</v>
      </c>
      <c r="J170" s="28" t="s">
        <v>16</v>
      </c>
      <c r="K170" s="28" t="s">
        <v>83</v>
      </c>
      <c r="L170" s="29">
        <f t="shared" si="3"/>
        <v>72.72</v>
      </c>
    </row>
    <row r="171" spans="2:12" x14ac:dyDescent="0.25">
      <c r="B171" s="27">
        <v>45066</v>
      </c>
      <c r="C171" s="28" t="s">
        <v>38</v>
      </c>
      <c r="D171" s="28">
        <v>2023</v>
      </c>
      <c r="E171" s="28" t="s">
        <v>15</v>
      </c>
      <c r="F171" s="28">
        <v>5</v>
      </c>
      <c r="G171" s="28" t="s">
        <v>111</v>
      </c>
      <c r="H171" s="28" t="s">
        <v>16</v>
      </c>
      <c r="I171" s="28" t="s">
        <v>16</v>
      </c>
      <c r="J171" s="28" t="s">
        <v>16</v>
      </c>
      <c r="K171" s="28" t="s">
        <v>76</v>
      </c>
      <c r="L171" s="29">
        <f t="shared" si="3"/>
        <v>45.45</v>
      </c>
    </row>
    <row r="172" spans="2:12" x14ac:dyDescent="0.25">
      <c r="B172" s="27">
        <v>45066</v>
      </c>
      <c r="C172" s="28" t="s">
        <v>38</v>
      </c>
      <c r="D172" s="28">
        <v>2023</v>
      </c>
      <c r="E172" s="28" t="s">
        <v>14</v>
      </c>
      <c r="F172" s="28">
        <v>20</v>
      </c>
      <c r="G172" s="28" t="s">
        <v>93</v>
      </c>
      <c r="H172" s="28" t="s">
        <v>16</v>
      </c>
      <c r="I172" s="28" t="s">
        <v>16</v>
      </c>
      <c r="J172" s="28" t="s">
        <v>16</v>
      </c>
      <c r="K172" s="28" t="s">
        <v>78</v>
      </c>
      <c r="L172" s="29">
        <f t="shared" si="3"/>
        <v>181.8</v>
      </c>
    </row>
    <row r="173" spans="2:12" x14ac:dyDescent="0.25">
      <c r="B173" s="27">
        <v>45066</v>
      </c>
      <c r="C173" s="28" t="s">
        <v>38</v>
      </c>
      <c r="D173" s="28">
        <v>2023</v>
      </c>
      <c r="E173" s="28" t="s">
        <v>14</v>
      </c>
      <c r="F173" s="28">
        <v>14</v>
      </c>
      <c r="G173" s="28" t="s">
        <v>111</v>
      </c>
      <c r="H173" s="28" t="s">
        <v>16</v>
      </c>
      <c r="I173" s="28" t="s">
        <v>16</v>
      </c>
      <c r="J173" s="28" t="s">
        <v>16</v>
      </c>
      <c r="K173" s="28" t="s">
        <v>79</v>
      </c>
      <c r="L173" s="29">
        <f t="shared" si="3"/>
        <v>127.25999999999999</v>
      </c>
    </row>
    <row r="174" spans="2:12" x14ac:dyDescent="0.25">
      <c r="B174" s="27">
        <v>45066</v>
      </c>
      <c r="C174" s="28" t="s">
        <v>38</v>
      </c>
      <c r="D174" s="28">
        <v>2023</v>
      </c>
      <c r="E174" s="28" t="s">
        <v>15</v>
      </c>
      <c r="F174" s="28">
        <v>4</v>
      </c>
      <c r="G174" s="28" t="s">
        <v>111</v>
      </c>
      <c r="H174" s="28" t="s">
        <v>16</v>
      </c>
      <c r="I174" s="28" t="s">
        <v>16</v>
      </c>
      <c r="J174" s="28" t="s">
        <v>16</v>
      </c>
      <c r="K174" s="28" t="s">
        <v>79</v>
      </c>
      <c r="L174" s="29">
        <f t="shared" si="3"/>
        <v>36.36</v>
      </c>
    </row>
    <row r="175" spans="2:12" x14ac:dyDescent="0.25">
      <c r="B175" s="27">
        <v>45066</v>
      </c>
      <c r="C175" s="28" t="s">
        <v>38</v>
      </c>
      <c r="D175" s="28">
        <v>2023</v>
      </c>
      <c r="E175" s="28" t="s">
        <v>15</v>
      </c>
      <c r="F175" s="28">
        <v>5</v>
      </c>
      <c r="G175" s="28" t="s">
        <v>97</v>
      </c>
      <c r="H175" s="28" t="s">
        <v>16</v>
      </c>
      <c r="I175" s="28" t="s">
        <v>16</v>
      </c>
      <c r="J175" s="28" t="s">
        <v>16</v>
      </c>
      <c r="K175" s="28" t="s">
        <v>78</v>
      </c>
      <c r="L175" s="29">
        <f t="shared" si="3"/>
        <v>45.45</v>
      </c>
    </row>
    <row r="176" spans="2:12" x14ac:dyDescent="0.25">
      <c r="B176" s="27">
        <v>45070</v>
      </c>
      <c r="C176" s="28" t="s">
        <v>38</v>
      </c>
      <c r="D176" s="28">
        <v>2023</v>
      </c>
      <c r="E176" s="28" t="s">
        <v>15</v>
      </c>
      <c r="F176" s="28">
        <v>1</v>
      </c>
      <c r="G176" s="28" t="s">
        <v>111</v>
      </c>
      <c r="H176" s="28" t="s">
        <v>16</v>
      </c>
      <c r="I176" s="28" t="s">
        <v>16</v>
      </c>
      <c r="J176" s="28" t="s">
        <v>16</v>
      </c>
      <c r="K176" s="28" t="s">
        <v>78</v>
      </c>
      <c r="L176" s="29">
        <f t="shared" si="3"/>
        <v>9.09</v>
      </c>
    </row>
    <row r="177" spans="2:12" x14ac:dyDescent="0.25">
      <c r="B177" s="27">
        <v>45071</v>
      </c>
      <c r="C177" s="28" t="s">
        <v>38</v>
      </c>
      <c r="D177" s="28">
        <v>2023</v>
      </c>
      <c r="E177" s="28" t="s">
        <v>15</v>
      </c>
      <c r="F177" s="28">
        <v>3</v>
      </c>
      <c r="G177" s="28" t="s">
        <v>111</v>
      </c>
      <c r="H177" s="28" t="s">
        <v>16</v>
      </c>
      <c r="I177" s="28" t="s">
        <v>16</v>
      </c>
      <c r="J177" s="28" t="s">
        <v>16</v>
      </c>
      <c r="K177" s="28" t="s">
        <v>73</v>
      </c>
      <c r="L177" s="29">
        <f t="shared" si="3"/>
        <v>27.27</v>
      </c>
    </row>
    <row r="178" spans="2:12" x14ac:dyDescent="0.25">
      <c r="B178" s="27">
        <v>45073</v>
      </c>
      <c r="C178" s="28" t="s">
        <v>38</v>
      </c>
      <c r="D178" s="28">
        <v>2023</v>
      </c>
      <c r="E178" s="28" t="s">
        <v>14</v>
      </c>
      <c r="F178" s="28">
        <v>1</v>
      </c>
      <c r="G178" s="28" t="s">
        <v>111</v>
      </c>
      <c r="H178" s="28" t="s">
        <v>16</v>
      </c>
      <c r="I178" s="28" t="s">
        <v>16</v>
      </c>
      <c r="J178" s="28" t="s">
        <v>16</v>
      </c>
      <c r="K178" s="28" t="s">
        <v>79</v>
      </c>
      <c r="L178" s="29">
        <f t="shared" si="3"/>
        <v>9.09</v>
      </c>
    </row>
    <row r="179" spans="2:12" x14ac:dyDescent="0.25">
      <c r="B179" s="27">
        <v>45074</v>
      </c>
      <c r="C179" s="28" t="s">
        <v>38</v>
      </c>
      <c r="D179" s="28">
        <v>2023</v>
      </c>
      <c r="E179" s="28" t="s">
        <v>14</v>
      </c>
      <c r="F179" s="28">
        <v>3</v>
      </c>
      <c r="G179" s="28" t="s">
        <v>93</v>
      </c>
      <c r="H179" s="28" t="s">
        <v>16</v>
      </c>
      <c r="I179" s="28" t="s">
        <v>16</v>
      </c>
      <c r="J179" s="28" t="s">
        <v>16</v>
      </c>
      <c r="K179" s="28" t="s">
        <v>78</v>
      </c>
      <c r="L179" s="29">
        <f t="shared" si="3"/>
        <v>27.27</v>
      </c>
    </row>
    <row r="180" spans="2:12" x14ac:dyDescent="0.25">
      <c r="B180" s="27">
        <v>45074</v>
      </c>
      <c r="C180" s="28" t="s">
        <v>38</v>
      </c>
      <c r="D180" s="28">
        <v>2023</v>
      </c>
      <c r="E180" s="28" t="s">
        <v>15</v>
      </c>
      <c r="F180" s="28">
        <v>5</v>
      </c>
      <c r="G180" s="28" t="s">
        <v>111</v>
      </c>
      <c r="H180" s="28" t="s">
        <v>16</v>
      </c>
      <c r="I180" s="28" t="s">
        <v>16</v>
      </c>
      <c r="J180" s="28" t="s">
        <v>16</v>
      </c>
      <c r="K180" s="28" t="s">
        <v>75</v>
      </c>
      <c r="L180" s="29">
        <f t="shared" si="3"/>
        <v>45.45</v>
      </c>
    </row>
    <row r="181" spans="2:12" x14ac:dyDescent="0.25">
      <c r="B181" s="27">
        <v>45075</v>
      </c>
      <c r="C181" s="28" t="s">
        <v>38</v>
      </c>
      <c r="D181" s="28">
        <v>2023</v>
      </c>
      <c r="E181" s="28" t="s">
        <v>15</v>
      </c>
      <c r="F181" s="28">
        <v>5</v>
      </c>
      <c r="G181" s="28" t="s">
        <v>94</v>
      </c>
      <c r="H181" s="28" t="s">
        <v>16</v>
      </c>
      <c r="I181" s="28" t="s">
        <v>16</v>
      </c>
      <c r="J181" s="28" t="s">
        <v>16</v>
      </c>
      <c r="K181" s="28" t="s">
        <v>78</v>
      </c>
      <c r="L181" s="29">
        <f t="shared" si="3"/>
        <v>45.45</v>
      </c>
    </row>
    <row r="182" spans="2:12" x14ac:dyDescent="0.25">
      <c r="B182" s="27">
        <v>45075</v>
      </c>
      <c r="C182" s="28" t="s">
        <v>38</v>
      </c>
      <c r="D182" s="28">
        <v>2023</v>
      </c>
      <c r="E182" s="28" t="s">
        <v>14</v>
      </c>
      <c r="F182" s="28">
        <v>26</v>
      </c>
      <c r="G182" s="28" t="s">
        <v>93</v>
      </c>
      <c r="H182" s="28" t="s">
        <v>16</v>
      </c>
      <c r="I182" s="28" t="s">
        <v>16</v>
      </c>
      <c r="J182" s="28" t="s">
        <v>16</v>
      </c>
      <c r="K182" s="28" t="s">
        <v>78</v>
      </c>
      <c r="L182" s="29">
        <f t="shared" si="3"/>
        <v>236.34</v>
      </c>
    </row>
    <row r="183" spans="2:12" x14ac:dyDescent="0.25">
      <c r="B183" s="27">
        <v>45076</v>
      </c>
      <c r="C183" s="28" t="s">
        <v>38</v>
      </c>
      <c r="D183" s="28">
        <v>2023</v>
      </c>
      <c r="E183" s="28" t="s">
        <v>14</v>
      </c>
      <c r="F183" s="28">
        <v>26</v>
      </c>
      <c r="G183" s="28" t="s">
        <v>93</v>
      </c>
      <c r="H183" s="28" t="s">
        <v>16</v>
      </c>
      <c r="I183" s="28" t="s">
        <v>16</v>
      </c>
      <c r="J183" s="28" t="s">
        <v>16</v>
      </c>
      <c r="K183" s="28" t="s">
        <v>73</v>
      </c>
      <c r="L183" s="29">
        <f t="shared" ref="L183:L246" si="4">F183*9.09</f>
        <v>236.34</v>
      </c>
    </row>
    <row r="184" spans="2:12" x14ac:dyDescent="0.25">
      <c r="B184" s="27">
        <v>45076</v>
      </c>
      <c r="C184" s="28" t="s">
        <v>38</v>
      </c>
      <c r="D184" s="28">
        <v>2023</v>
      </c>
      <c r="E184" s="28" t="s">
        <v>14</v>
      </c>
      <c r="F184" s="28">
        <v>14</v>
      </c>
      <c r="G184" s="28" t="s">
        <v>93</v>
      </c>
      <c r="H184" s="28" t="s">
        <v>16</v>
      </c>
      <c r="I184" s="28" t="s">
        <v>16</v>
      </c>
      <c r="J184" s="28" t="s">
        <v>16</v>
      </c>
      <c r="K184" s="28" t="s">
        <v>78</v>
      </c>
      <c r="L184" s="29">
        <f t="shared" si="4"/>
        <v>127.25999999999999</v>
      </c>
    </row>
    <row r="185" spans="2:12" x14ac:dyDescent="0.25">
      <c r="B185" s="27">
        <v>45076</v>
      </c>
      <c r="C185" s="28" t="s">
        <v>38</v>
      </c>
      <c r="D185" s="28">
        <v>2023</v>
      </c>
      <c r="E185" s="28" t="s">
        <v>15</v>
      </c>
      <c r="F185" s="28">
        <v>3</v>
      </c>
      <c r="G185" s="28" t="s">
        <v>94</v>
      </c>
      <c r="H185" s="28" t="s">
        <v>16</v>
      </c>
      <c r="I185" s="28" t="s">
        <v>16</v>
      </c>
      <c r="J185" s="28" t="s">
        <v>16</v>
      </c>
      <c r="K185" s="28" t="s">
        <v>78</v>
      </c>
      <c r="L185" s="29">
        <f t="shared" si="4"/>
        <v>27.27</v>
      </c>
    </row>
    <row r="186" spans="2:12" x14ac:dyDescent="0.25">
      <c r="B186" s="27">
        <v>45077</v>
      </c>
      <c r="C186" s="28" t="s">
        <v>38</v>
      </c>
      <c r="D186" s="28">
        <v>2023</v>
      </c>
      <c r="E186" s="28" t="s">
        <v>14</v>
      </c>
      <c r="F186" s="28">
        <v>27</v>
      </c>
      <c r="G186" s="28" t="s">
        <v>93</v>
      </c>
      <c r="H186" s="28" t="s">
        <v>16</v>
      </c>
      <c r="I186" s="28" t="s">
        <v>16</v>
      </c>
      <c r="J186" s="28" t="s">
        <v>16</v>
      </c>
      <c r="K186" s="28" t="s">
        <v>75</v>
      </c>
      <c r="L186" s="29">
        <f t="shared" si="4"/>
        <v>245.43</v>
      </c>
    </row>
    <row r="187" spans="2:12" x14ac:dyDescent="0.25">
      <c r="B187" s="27">
        <v>45077</v>
      </c>
      <c r="C187" s="28" t="s">
        <v>38</v>
      </c>
      <c r="D187" s="28">
        <v>2023</v>
      </c>
      <c r="E187" s="28" t="s">
        <v>14</v>
      </c>
      <c r="F187" s="28">
        <v>28</v>
      </c>
      <c r="G187" s="28" t="s">
        <v>93</v>
      </c>
      <c r="H187" s="28" t="s">
        <v>16</v>
      </c>
      <c r="I187" s="28" t="s">
        <v>16</v>
      </c>
      <c r="J187" s="28" t="s">
        <v>16</v>
      </c>
      <c r="K187" s="28" t="s">
        <v>78</v>
      </c>
      <c r="L187" s="29">
        <f t="shared" si="4"/>
        <v>254.51999999999998</v>
      </c>
    </row>
    <row r="188" spans="2:12" x14ac:dyDescent="0.25">
      <c r="B188" s="27">
        <v>45078</v>
      </c>
      <c r="C188" s="28" t="s">
        <v>39</v>
      </c>
      <c r="D188" s="28">
        <v>2023</v>
      </c>
      <c r="E188" s="28" t="s">
        <v>14</v>
      </c>
      <c r="F188" s="28">
        <v>5</v>
      </c>
      <c r="G188" s="28" t="s">
        <v>111</v>
      </c>
      <c r="H188" s="28" t="s">
        <v>16</v>
      </c>
      <c r="I188" s="28" t="s">
        <v>16</v>
      </c>
      <c r="J188" s="28" t="s">
        <v>16</v>
      </c>
      <c r="K188" s="28" t="s">
        <v>78</v>
      </c>
      <c r="L188" s="29">
        <f t="shared" si="4"/>
        <v>45.45</v>
      </c>
    </row>
    <row r="189" spans="2:12" x14ac:dyDescent="0.25">
      <c r="B189" s="27">
        <v>45078</v>
      </c>
      <c r="C189" s="28" t="s">
        <v>39</v>
      </c>
      <c r="D189" s="28">
        <v>2023</v>
      </c>
      <c r="E189" s="28" t="s">
        <v>15</v>
      </c>
      <c r="F189" s="28">
        <v>3</v>
      </c>
      <c r="G189" s="28" t="s">
        <v>85</v>
      </c>
      <c r="H189" s="28" t="s">
        <v>16</v>
      </c>
      <c r="I189" s="28" t="s">
        <v>16</v>
      </c>
      <c r="J189" s="28" t="s">
        <v>16</v>
      </c>
      <c r="K189" s="28" t="s">
        <v>75</v>
      </c>
      <c r="L189" s="29">
        <f t="shared" si="4"/>
        <v>27.27</v>
      </c>
    </row>
    <row r="190" spans="2:12" x14ac:dyDescent="0.25">
      <c r="B190" s="27">
        <v>45080</v>
      </c>
      <c r="C190" s="28" t="s">
        <v>39</v>
      </c>
      <c r="D190" s="28">
        <v>2023</v>
      </c>
      <c r="E190" s="28" t="s">
        <v>14</v>
      </c>
      <c r="F190" s="28">
        <v>1</v>
      </c>
      <c r="G190" s="28" t="s">
        <v>85</v>
      </c>
      <c r="H190" s="28" t="s">
        <v>16</v>
      </c>
      <c r="I190" s="28" t="s">
        <v>16</v>
      </c>
      <c r="J190" s="28" t="s">
        <v>16</v>
      </c>
      <c r="K190" s="28" t="s">
        <v>83</v>
      </c>
      <c r="L190" s="29">
        <f t="shared" si="4"/>
        <v>9.09</v>
      </c>
    </row>
    <row r="191" spans="2:12" x14ac:dyDescent="0.25">
      <c r="B191" s="27">
        <v>45081</v>
      </c>
      <c r="C191" s="28" t="s">
        <v>39</v>
      </c>
      <c r="D191" s="28">
        <v>2023</v>
      </c>
      <c r="E191" s="28" t="s">
        <v>15</v>
      </c>
      <c r="F191" s="28">
        <v>6</v>
      </c>
      <c r="G191" s="28" t="s">
        <v>111</v>
      </c>
      <c r="H191" s="28" t="s">
        <v>16</v>
      </c>
      <c r="I191" s="28" t="s">
        <v>16</v>
      </c>
      <c r="J191" s="28" t="s">
        <v>16</v>
      </c>
      <c r="K191" s="28" t="s">
        <v>75</v>
      </c>
      <c r="L191" s="29">
        <f t="shared" si="4"/>
        <v>54.54</v>
      </c>
    </row>
    <row r="192" spans="2:12" x14ac:dyDescent="0.25">
      <c r="B192" s="27">
        <v>45081</v>
      </c>
      <c r="C192" s="28" t="s">
        <v>39</v>
      </c>
      <c r="D192" s="28">
        <v>2023</v>
      </c>
      <c r="E192" s="28" t="s">
        <v>15</v>
      </c>
      <c r="F192" s="28">
        <v>1</v>
      </c>
      <c r="G192" s="28" t="s">
        <v>93</v>
      </c>
      <c r="H192" s="28" t="s">
        <v>16</v>
      </c>
      <c r="I192" s="28" t="s">
        <v>16</v>
      </c>
      <c r="J192" s="28" t="s">
        <v>16</v>
      </c>
      <c r="K192" s="28" t="s">
        <v>79</v>
      </c>
      <c r="L192" s="29">
        <f t="shared" si="4"/>
        <v>9.09</v>
      </c>
    </row>
    <row r="193" spans="2:12" x14ac:dyDescent="0.25">
      <c r="B193" s="27">
        <v>45081</v>
      </c>
      <c r="C193" s="28" t="s">
        <v>39</v>
      </c>
      <c r="D193" s="28">
        <v>2023</v>
      </c>
      <c r="E193" s="28" t="s">
        <v>14</v>
      </c>
      <c r="F193" s="28">
        <v>2</v>
      </c>
      <c r="G193" s="28" t="s">
        <v>93</v>
      </c>
      <c r="H193" s="28" t="s">
        <v>16</v>
      </c>
      <c r="I193" s="28" t="s">
        <v>16</v>
      </c>
      <c r="J193" s="28" t="s">
        <v>16</v>
      </c>
      <c r="K193" s="28" t="s">
        <v>79</v>
      </c>
      <c r="L193" s="29">
        <f t="shared" si="4"/>
        <v>18.18</v>
      </c>
    </row>
    <row r="194" spans="2:12" x14ac:dyDescent="0.25">
      <c r="B194" s="27">
        <v>45081</v>
      </c>
      <c r="C194" s="28" t="s">
        <v>39</v>
      </c>
      <c r="D194" s="28">
        <v>2023</v>
      </c>
      <c r="E194" s="28" t="s">
        <v>14</v>
      </c>
      <c r="F194" s="28">
        <v>26</v>
      </c>
      <c r="G194" s="28" t="s">
        <v>93</v>
      </c>
      <c r="H194" s="28" t="s">
        <v>16</v>
      </c>
      <c r="I194" s="28" t="s">
        <v>16</v>
      </c>
      <c r="J194" s="28" t="s">
        <v>16</v>
      </c>
      <c r="K194" s="28" t="s">
        <v>76</v>
      </c>
      <c r="L194" s="29">
        <f t="shared" si="4"/>
        <v>236.34</v>
      </c>
    </row>
    <row r="195" spans="2:12" x14ac:dyDescent="0.25">
      <c r="B195" s="27">
        <v>45082</v>
      </c>
      <c r="C195" s="28" t="s">
        <v>39</v>
      </c>
      <c r="D195" s="28">
        <v>2023</v>
      </c>
      <c r="E195" s="28" t="s">
        <v>14</v>
      </c>
      <c r="F195" s="28">
        <v>26</v>
      </c>
      <c r="G195" s="28" t="s">
        <v>93</v>
      </c>
      <c r="H195" s="28" t="s">
        <v>16</v>
      </c>
      <c r="I195" s="28" t="s">
        <v>16</v>
      </c>
      <c r="J195" s="28" t="s">
        <v>16</v>
      </c>
      <c r="K195" s="28" t="s">
        <v>83</v>
      </c>
      <c r="L195" s="29">
        <f t="shared" si="4"/>
        <v>236.34</v>
      </c>
    </row>
    <row r="196" spans="2:12" x14ac:dyDescent="0.25">
      <c r="B196" s="27">
        <v>45082</v>
      </c>
      <c r="C196" s="28" t="s">
        <v>39</v>
      </c>
      <c r="D196" s="28">
        <v>2023</v>
      </c>
      <c r="E196" s="28" t="s">
        <v>15</v>
      </c>
      <c r="F196" s="28">
        <v>3</v>
      </c>
      <c r="G196" s="28" t="s">
        <v>94</v>
      </c>
      <c r="H196" s="28" t="s">
        <v>16</v>
      </c>
      <c r="I196" s="28" t="s">
        <v>16</v>
      </c>
      <c r="J196" s="28" t="s">
        <v>16</v>
      </c>
      <c r="K196" s="28" t="s">
        <v>76</v>
      </c>
      <c r="L196" s="29">
        <f t="shared" si="4"/>
        <v>27.27</v>
      </c>
    </row>
    <row r="197" spans="2:12" x14ac:dyDescent="0.25">
      <c r="B197" s="27">
        <v>45082</v>
      </c>
      <c r="C197" s="28" t="s">
        <v>39</v>
      </c>
      <c r="D197" s="28">
        <v>2023</v>
      </c>
      <c r="E197" s="28" t="s">
        <v>14</v>
      </c>
      <c r="F197" s="28">
        <v>26</v>
      </c>
      <c r="G197" s="28" t="s">
        <v>93</v>
      </c>
      <c r="H197" s="28" t="s">
        <v>16</v>
      </c>
      <c r="I197" s="28" t="s">
        <v>16</v>
      </c>
      <c r="J197" s="28" t="s">
        <v>16</v>
      </c>
      <c r="K197" s="28" t="s">
        <v>76</v>
      </c>
      <c r="L197" s="29">
        <f t="shared" si="4"/>
        <v>236.34</v>
      </c>
    </row>
    <row r="198" spans="2:12" x14ac:dyDescent="0.25">
      <c r="B198" s="27">
        <v>45083</v>
      </c>
      <c r="C198" s="28" t="s">
        <v>39</v>
      </c>
      <c r="D198" s="28">
        <v>2023</v>
      </c>
      <c r="E198" s="28" t="s">
        <v>14</v>
      </c>
      <c r="F198" s="28">
        <v>26</v>
      </c>
      <c r="G198" s="28" t="s">
        <v>93</v>
      </c>
      <c r="H198" s="28" t="s">
        <v>16</v>
      </c>
      <c r="I198" s="28" t="s">
        <v>16</v>
      </c>
      <c r="J198" s="28" t="s">
        <v>16</v>
      </c>
      <c r="K198" s="28" t="s">
        <v>83</v>
      </c>
      <c r="L198" s="29">
        <f t="shared" si="4"/>
        <v>236.34</v>
      </c>
    </row>
    <row r="199" spans="2:12" x14ac:dyDescent="0.25">
      <c r="B199" s="27">
        <v>45083</v>
      </c>
      <c r="C199" s="28" t="s">
        <v>39</v>
      </c>
      <c r="D199" s="28">
        <v>2023</v>
      </c>
      <c r="E199" s="28" t="s">
        <v>14</v>
      </c>
      <c r="F199" s="28">
        <v>10</v>
      </c>
      <c r="G199" s="28" t="s">
        <v>93</v>
      </c>
      <c r="H199" s="28" t="s">
        <v>16</v>
      </c>
      <c r="I199" s="28" t="s">
        <v>16</v>
      </c>
      <c r="J199" s="28" t="s">
        <v>16</v>
      </c>
      <c r="K199" s="28" t="s">
        <v>83</v>
      </c>
      <c r="L199" s="29">
        <f t="shared" si="4"/>
        <v>90.9</v>
      </c>
    </row>
    <row r="200" spans="2:12" x14ac:dyDescent="0.25">
      <c r="B200" s="27">
        <v>45083</v>
      </c>
      <c r="C200" s="28" t="s">
        <v>39</v>
      </c>
      <c r="D200" s="28">
        <v>2023</v>
      </c>
      <c r="E200" s="28" t="s">
        <v>14</v>
      </c>
      <c r="F200" s="28">
        <v>13</v>
      </c>
      <c r="G200" s="28" t="s">
        <v>111</v>
      </c>
      <c r="H200" s="28" t="s">
        <v>16</v>
      </c>
      <c r="I200" s="28" t="s">
        <v>16</v>
      </c>
      <c r="J200" s="28" t="s">
        <v>16</v>
      </c>
      <c r="K200" s="28" t="s">
        <v>75</v>
      </c>
      <c r="L200" s="29">
        <f t="shared" si="4"/>
        <v>118.17</v>
      </c>
    </row>
    <row r="201" spans="2:12" x14ac:dyDescent="0.25">
      <c r="B201" s="27">
        <v>45085</v>
      </c>
      <c r="C201" s="28" t="s">
        <v>39</v>
      </c>
      <c r="D201" s="28">
        <v>2023</v>
      </c>
      <c r="E201" s="28" t="s">
        <v>15</v>
      </c>
      <c r="F201" s="28">
        <v>4</v>
      </c>
      <c r="G201" s="28" t="s">
        <v>111</v>
      </c>
      <c r="H201" s="28" t="s">
        <v>16</v>
      </c>
      <c r="I201" s="28" t="s">
        <v>16</v>
      </c>
      <c r="J201" s="28" t="s">
        <v>16</v>
      </c>
      <c r="K201" s="28" t="s">
        <v>75</v>
      </c>
      <c r="L201" s="29">
        <f t="shared" si="4"/>
        <v>36.36</v>
      </c>
    </row>
    <row r="202" spans="2:12" x14ac:dyDescent="0.25">
      <c r="B202" s="27">
        <v>45085</v>
      </c>
      <c r="C202" s="28" t="s">
        <v>39</v>
      </c>
      <c r="D202" s="28">
        <v>2023</v>
      </c>
      <c r="E202" s="28" t="s">
        <v>14</v>
      </c>
      <c r="F202" s="28">
        <v>26</v>
      </c>
      <c r="G202" s="28" t="s">
        <v>93</v>
      </c>
      <c r="H202" s="28" t="s">
        <v>16</v>
      </c>
      <c r="I202" s="28" t="s">
        <v>16</v>
      </c>
      <c r="J202" s="28" t="s">
        <v>16</v>
      </c>
      <c r="K202" s="28" t="s">
        <v>73</v>
      </c>
      <c r="L202" s="29">
        <f t="shared" si="4"/>
        <v>236.34</v>
      </c>
    </row>
    <row r="203" spans="2:12" x14ac:dyDescent="0.25">
      <c r="B203" s="27">
        <v>45086</v>
      </c>
      <c r="C203" s="28" t="s">
        <v>39</v>
      </c>
      <c r="D203" s="28">
        <v>2023</v>
      </c>
      <c r="E203" s="28" t="s">
        <v>14</v>
      </c>
      <c r="F203" s="28">
        <v>3</v>
      </c>
      <c r="G203" s="28" t="s">
        <v>93</v>
      </c>
      <c r="H203" s="28" t="s">
        <v>16</v>
      </c>
      <c r="I203" s="28" t="s">
        <v>16</v>
      </c>
      <c r="J203" s="28" t="s">
        <v>16</v>
      </c>
      <c r="K203" s="28" t="s">
        <v>83</v>
      </c>
      <c r="L203" s="29">
        <f t="shared" si="4"/>
        <v>27.27</v>
      </c>
    </row>
    <row r="204" spans="2:12" x14ac:dyDescent="0.25">
      <c r="B204" s="27">
        <v>45086</v>
      </c>
      <c r="C204" s="28" t="s">
        <v>39</v>
      </c>
      <c r="D204" s="28">
        <v>2023</v>
      </c>
      <c r="E204" s="28" t="s">
        <v>15</v>
      </c>
      <c r="F204" s="28">
        <v>1</v>
      </c>
      <c r="G204" s="28" t="s">
        <v>111</v>
      </c>
      <c r="H204" s="28" t="s">
        <v>16</v>
      </c>
      <c r="I204" s="28" t="s">
        <v>16</v>
      </c>
      <c r="J204" s="28" t="s">
        <v>16</v>
      </c>
      <c r="K204" s="28" t="s">
        <v>78</v>
      </c>
      <c r="L204" s="29">
        <f t="shared" si="4"/>
        <v>9.09</v>
      </c>
    </row>
    <row r="205" spans="2:12" x14ac:dyDescent="0.25">
      <c r="B205" s="27">
        <v>45087</v>
      </c>
      <c r="C205" s="28" t="s">
        <v>39</v>
      </c>
      <c r="D205" s="28">
        <v>2023</v>
      </c>
      <c r="E205" s="28" t="s">
        <v>15</v>
      </c>
      <c r="F205" s="28">
        <v>6</v>
      </c>
      <c r="G205" s="28" t="s">
        <v>111</v>
      </c>
      <c r="H205" s="28" t="s">
        <v>16</v>
      </c>
      <c r="I205" s="28" t="s">
        <v>16</v>
      </c>
      <c r="J205" s="28" t="s">
        <v>16</v>
      </c>
      <c r="K205" s="28" t="s">
        <v>76</v>
      </c>
      <c r="L205" s="29">
        <f t="shared" si="4"/>
        <v>54.54</v>
      </c>
    </row>
    <row r="206" spans="2:12" x14ac:dyDescent="0.25">
      <c r="B206" s="27">
        <v>45087</v>
      </c>
      <c r="C206" s="28" t="s">
        <v>39</v>
      </c>
      <c r="D206" s="28">
        <v>2023</v>
      </c>
      <c r="E206" s="28" t="s">
        <v>15</v>
      </c>
      <c r="F206" s="28">
        <v>4</v>
      </c>
      <c r="G206" s="28" t="s">
        <v>85</v>
      </c>
      <c r="H206" s="28" t="s">
        <v>16</v>
      </c>
      <c r="I206" s="28" t="s">
        <v>16</v>
      </c>
      <c r="J206" s="28" t="s">
        <v>16</v>
      </c>
      <c r="K206" s="28" t="s">
        <v>78</v>
      </c>
      <c r="L206" s="29">
        <f t="shared" si="4"/>
        <v>36.36</v>
      </c>
    </row>
    <row r="207" spans="2:12" x14ac:dyDescent="0.25">
      <c r="B207" s="27">
        <v>45087</v>
      </c>
      <c r="C207" s="28" t="s">
        <v>39</v>
      </c>
      <c r="D207" s="28">
        <v>2023</v>
      </c>
      <c r="E207" s="28" t="s">
        <v>14</v>
      </c>
      <c r="F207" s="28">
        <v>26</v>
      </c>
      <c r="G207" s="28" t="s">
        <v>93</v>
      </c>
      <c r="H207" s="28" t="s">
        <v>16</v>
      </c>
      <c r="I207" s="28" t="s">
        <v>16</v>
      </c>
      <c r="J207" s="28" t="s">
        <v>16</v>
      </c>
      <c r="K207" s="28" t="s">
        <v>75</v>
      </c>
      <c r="L207" s="29">
        <f t="shared" si="4"/>
        <v>236.34</v>
      </c>
    </row>
    <row r="208" spans="2:12" x14ac:dyDescent="0.25">
      <c r="B208" s="27">
        <v>45089</v>
      </c>
      <c r="C208" s="28" t="s">
        <v>39</v>
      </c>
      <c r="D208" s="28">
        <v>2023</v>
      </c>
      <c r="E208" s="28" t="s">
        <v>14</v>
      </c>
      <c r="F208" s="28">
        <v>2</v>
      </c>
      <c r="G208" s="28" t="s">
        <v>97</v>
      </c>
      <c r="H208" s="28" t="s">
        <v>16</v>
      </c>
      <c r="I208" s="28" t="s">
        <v>16</v>
      </c>
      <c r="J208" s="28" t="s">
        <v>16</v>
      </c>
      <c r="K208" s="28" t="s">
        <v>83</v>
      </c>
      <c r="L208" s="29">
        <f t="shared" si="4"/>
        <v>18.18</v>
      </c>
    </row>
    <row r="209" spans="2:12" x14ac:dyDescent="0.25">
      <c r="B209" s="27">
        <v>45089</v>
      </c>
      <c r="C209" s="28" t="s">
        <v>39</v>
      </c>
      <c r="D209" s="28">
        <v>2023</v>
      </c>
      <c r="E209" s="28" t="s">
        <v>14</v>
      </c>
      <c r="F209" s="28">
        <v>26</v>
      </c>
      <c r="G209" s="28" t="s">
        <v>93</v>
      </c>
      <c r="H209" s="28" t="s">
        <v>16</v>
      </c>
      <c r="I209" s="28" t="s">
        <v>16</v>
      </c>
      <c r="J209" s="28" t="s">
        <v>16</v>
      </c>
      <c r="K209" s="28" t="s">
        <v>75</v>
      </c>
      <c r="L209" s="29">
        <f t="shared" si="4"/>
        <v>236.34</v>
      </c>
    </row>
    <row r="210" spans="2:12" x14ac:dyDescent="0.25">
      <c r="B210" s="27">
        <v>45089</v>
      </c>
      <c r="C210" s="28" t="s">
        <v>39</v>
      </c>
      <c r="D210" s="28">
        <v>2023</v>
      </c>
      <c r="E210" s="28" t="s">
        <v>15</v>
      </c>
      <c r="F210" s="28">
        <v>1</v>
      </c>
      <c r="G210" s="28" t="s">
        <v>94</v>
      </c>
      <c r="H210" s="28" t="s">
        <v>16</v>
      </c>
      <c r="I210" s="28" t="s">
        <v>16</v>
      </c>
      <c r="J210" s="28" t="s">
        <v>16</v>
      </c>
      <c r="K210" s="28" t="s">
        <v>75</v>
      </c>
      <c r="L210" s="29">
        <f t="shared" si="4"/>
        <v>9.09</v>
      </c>
    </row>
    <row r="211" spans="2:12" x14ac:dyDescent="0.25">
      <c r="B211" s="27">
        <v>45090</v>
      </c>
      <c r="C211" s="28" t="s">
        <v>39</v>
      </c>
      <c r="D211" s="28">
        <v>2023</v>
      </c>
      <c r="E211" s="28" t="s">
        <v>14</v>
      </c>
      <c r="F211" s="28">
        <v>26</v>
      </c>
      <c r="G211" s="28" t="s">
        <v>93</v>
      </c>
      <c r="H211" s="28" t="s">
        <v>16</v>
      </c>
      <c r="I211" s="28" t="s">
        <v>16</v>
      </c>
      <c r="J211" s="28" t="s">
        <v>16</v>
      </c>
      <c r="K211" s="28" t="s">
        <v>83</v>
      </c>
      <c r="L211" s="29">
        <f t="shared" si="4"/>
        <v>236.34</v>
      </c>
    </row>
    <row r="212" spans="2:12" x14ac:dyDescent="0.25">
      <c r="B212" s="27">
        <v>45090</v>
      </c>
      <c r="C212" s="28" t="s">
        <v>39</v>
      </c>
      <c r="D212" s="28">
        <v>2023</v>
      </c>
      <c r="E212" s="28" t="s">
        <v>14</v>
      </c>
      <c r="F212" s="28">
        <v>26</v>
      </c>
      <c r="G212" s="28" t="s">
        <v>93</v>
      </c>
      <c r="H212" s="28" t="s">
        <v>16</v>
      </c>
      <c r="I212" s="28" t="s">
        <v>16</v>
      </c>
      <c r="J212" s="28" t="s">
        <v>16</v>
      </c>
      <c r="K212" s="28" t="s">
        <v>83</v>
      </c>
      <c r="L212" s="29">
        <f t="shared" si="4"/>
        <v>236.34</v>
      </c>
    </row>
    <row r="213" spans="2:12" x14ac:dyDescent="0.25">
      <c r="B213" s="27">
        <v>45090</v>
      </c>
      <c r="C213" s="28" t="s">
        <v>39</v>
      </c>
      <c r="D213" s="28">
        <v>2023</v>
      </c>
      <c r="E213" s="28" t="s">
        <v>15</v>
      </c>
      <c r="F213" s="28">
        <v>2</v>
      </c>
      <c r="G213" s="28" t="s">
        <v>108</v>
      </c>
      <c r="H213" s="28" t="s">
        <v>16</v>
      </c>
      <c r="I213" s="28" t="s">
        <v>16</v>
      </c>
      <c r="J213" s="28" t="s">
        <v>16</v>
      </c>
      <c r="K213" s="28" t="s">
        <v>79</v>
      </c>
      <c r="L213" s="29">
        <f t="shared" si="4"/>
        <v>18.18</v>
      </c>
    </row>
    <row r="214" spans="2:12" x14ac:dyDescent="0.25">
      <c r="B214" s="27">
        <v>45090</v>
      </c>
      <c r="C214" s="28" t="s">
        <v>39</v>
      </c>
      <c r="D214" s="28">
        <v>2023</v>
      </c>
      <c r="E214" s="28" t="s">
        <v>14</v>
      </c>
      <c r="F214" s="28">
        <v>26</v>
      </c>
      <c r="G214" s="28" t="s">
        <v>93</v>
      </c>
      <c r="H214" s="28" t="s">
        <v>16</v>
      </c>
      <c r="I214" s="28" t="s">
        <v>16</v>
      </c>
      <c r="J214" s="28" t="s">
        <v>16</v>
      </c>
      <c r="K214" s="28" t="s">
        <v>79</v>
      </c>
      <c r="L214" s="29">
        <f t="shared" si="4"/>
        <v>236.34</v>
      </c>
    </row>
    <row r="215" spans="2:12" x14ac:dyDescent="0.25">
      <c r="B215" s="27">
        <v>45090</v>
      </c>
      <c r="C215" s="28" t="s">
        <v>39</v>
      </c>
      <c r="D215" s="28">
        <v>2023</v>
      </c>
      <c r="E215" s="28" t="s">
        <v>14</v>
      </c>
      <c r="F215" s="28">
        <v>3</v>
      </c>
      <c r="G215" s="28" t="s">
        <v>85</v>
      </c>
      <c r="H215" s="28" t="s">
        <v>16</v>
      </c>
      <c r="I215" s="28" t="s">
        <v>16</v>
      </c>
      <c r="J215" s="28" t="s">
        <v>16</v>
      </c>
      <c r="K215" s="28" t="s">
        <v>79</v>
      </c>
      <c r="L215" s="29">
        <f t="shared" si="4"/>
        <v>27.27</v>
      </c>
    </row>
    <row r="216" spans="2:12" x14ac:dyDescent="0.25">
      <c r="B216" s="27">
        <v>45090</v>
      </c>
      <c r="C216" s="28" t="s">
        <v>39</v>
      </c>
      <c r="D216" s="28">
        <v>2023</v>
      </c>
      <c r="E216" s="28" t="s">
        <v>15</v>
      </c>
      <c r="F216" s="28">
        <v>3</v>
      </c>
      <c r="G216" s="28" t="s">
        <v>85</v>
      </c>
      <c r="H216" s="28" t="s">
        <v>16</v>
      </c>
      <c r="I216" s="28" t="s">
        <v>16</v>
      </c>
      <c r="J216" s="28" t="s">
        <v>16</v>
      </c>
      <c r="K216" s="28" t="s">
        <v>79</v>
      </c>
      <c r="L216" s="29">
        <f t="shared" si="4"/>
        <v>27.27</v>
      </c>
    </row>
    <row r="217" spans="2:12" x14ac:dyDescent="0.25">
      <c r="B217" s="27">
        <v>45092</v>
      </c>
      <c r="C217" s="28" t="s">
        <v>39</v>
      </c>
      <c r="D217" s="28">
        <v>2023</v>
      </c>
      <c r="E217" s="28" t="s">
        <v>14</v>
      </c>
      <c r="F217" s="28">
        <v>28</v>
      </c>
      <c r="G217" s="28" t="s">
        <v>93</v>
      </c>
      <c r="H217" s="28" t="s">
        <v>16</v>
      </c>
      <c r="I217" s="28" t="s">
        <v>16</v>
      </c>
      <c r="J217" s="28" t="s">
        <v>16</v>
      </c>
      <c r="K217" s="28" t="s">
        <v>78</v>
      </c>
      <c r="L217" s="29">
        <f t="shared" si="4"/>
        <v>254.51999999999998</v>
      </c>
    </row>
    <row r="218" spans="2:12" x14ac:dyDescent="0.25">
      <c r="B218" s="27">
        <v>45094</v>
      </c>
      <c r="C218" s="28" t="s">
        <v>39</v>
      </c>
      <c r="D218" s="28">
        <v>2023</v>
      </c>
      <c r="E218" s="28" t="s">
        <v>14</v>
      </c>
      <c r="F218" s="28">
        <v>28</v>
      </c>
      <c r="G218" s="28" t="s">
        <v>93</v>
      </c>
      <c r="H218" s="28" t="s">
        <v>16</v>
      </c>
      <c r="I218" s="28" t="s">
        <v>16</v>
      </c>
      <c r="J218" s="28" t="s">
        <v>16</v>
      </c>
      <c r="K218" s="28" t="s">
        <v>78</v>
      </c>
      <c r="L218" s="29">
        <f t="shared" si="4"/>
        <v>254.51999999999998</v>
      </c>
    </row>
    <row r="219" spans="2:12" x14ac:dyDescent="0.25">
      <c r="B219" s="27">
        <v>45094</v>
      </c>
      <c r="C219" s="28" t="s">
        <v>39</v>
      </c>
      <c r="D219" s="28">
        <v>2023</v>
      </c>
      <c r="E219" s="28" t="s">
        <v>15</v>
      </c>
      <c r="F219" s="28">
        <v>4</v>
      </c>
      <c r="G219" s="28" t="s">
        <v>94</v>
      </c>
      <c r="H219" s="28" t="s">
        <v>16</v>
      </c>
      <c r="I219" s="28" t="s">
        <v>16</v>
      </c>
      <c r="J219" s="28" t="s">
        <v>16</v>
      </c>
      <c r="K219" s="28" t="s">
        <v>75</v>
      </c>
      <c r="L219" s="29">
        <f t="shared" si="4"/>
        <v>36.36</v>
      </c>
    </row>
    <row r="220" spans="2:12" x14ac:dyDescent="0.25">
      <c r="B220" s="27">
        <v>45094</v>
      </c>
      <c r="C220" s="28" t="s">
        <v>39</v>
      </c>
      <c r="D220" s="28">
        <v>2023</v>
      </c>
      <c r="E220" s="28" t="s">
        <v>15</v>
      </c>
      <c r="F220" s="28">
        <v>6</v>
      </c>
      <c r="G220" s="28" t="s">
        <v>111</v>
      </c>
      <c r="H220" s="28" t="s">
        <v>16</v>
      </c>
      <c r="I220" s="28" t="s">
        <v>16</v>
      </c>
      <c r="J220" s="28" t="s">
        <v>16</v>
      </c>
      <c r="K220" s="28" t="s">
        <v>75</v>
      </c>
      <c r="L220" s="29">
        <f t="shared" si="4"/>
        <v>54.54</v>
      </c>
    </row>
    <row r="221" spans="2:12" x14ac:dyDescent="0.25">
      <c r="B221" s="27">
        <v>45096</v>
      </c>
      <c r="C221" s="28" t="s">
        <v>39</v>
      </c>
      <c r="D221" s="28">
        <v>2023</v>
      </c>
      <c r="E221" s="28" t="s">
        <v>14</v>
      </c>
      <c r="F221" s="28">
        <v>26</v>
      </c>
      <c r="G221" s="28" t="s">
        <v>93</v>
      </c>
      <c r="H221" s="28" t="s">
        <v>16</v>
      </c>
      <c r="I221" s="28" t="s">
        <v>16</v>
      </c>
      <c r="J221" s="28" t="s">
        <v>16</v>
      </c>
      <c r="K221" s="28" t="s">
        <v>78</v>
      </c>
      <c r="L221" s="29">
        <f t="shared" si="4"/>
        <v>236.34</v>
      </c>
    </row>
    <row r="222" spans="2:12" x14ac:dyDescent="0.25">
      <c r="B222" s="27">
        <v>45096</v>
      </c>
      <c r="C222" s="28" t="s">
        <v>39</v>
      </c>
      <c r="D222" s="28">
        <v>2023</v>
      </c>
      <c r="E222" s="28" t="s">
        <v>15</v>
      </c>
      <c r="F222" s="28">
        <v>2</v>
      </c>
      <c r="G222" s="28" t="s">
        <v>94</v>
      </c>
      <c r="H222" s="28" t="s">
        <v>16</v>
      </c>
      <c r="I222" s="28" t="s">
        <v>16</v>
      </c>
      <c r="J222" s="28" t="s">
        <v>16</v>
      </c>
      <c r="K222" s="28" t="s">
        <v>79</v>
      </c>
      <c r="L222" s="29">
        <f t="shared" si="4"/>
        <v>18.18</v>
      </c>
    </row>
    <row r="223" spans="2:12" x14ac:dyDescent="0.25">
      <c r="B223" s="27">
        <v>45097</v>
      </c>
      <c r="C223" s="28" t="s">
        <v>39</v>
      </c>
      <c r="D223" s="28">
        <v>2023</v>
      </c>
      <c r="E223" s="28" t="s">
        <v>14</v>
      </c>
      <c r="F223" s="28">
        <v>13</v>
      </c>
      <c r="G223" s="28" t="s">
        <v>93</v>
      </c>
      <c r="H223" s="28" t="s">
        <v>16</v>
      </c>
      <c r="I223" s="28" t="s">
        <v>16</v>
      </c>
      <c r="J223" s="28" t="s">
        <v>16</v>
      </c>
      <c r="K223" s="28" t="s">
        <v>83</v>
      </c>
      <c r="L223" s="29">
        <f t="shared" si="4"/>
        <v>118.17</v>
      </c>
    </row>
    <row r="224" spans="2:12" x14ac:dyDescent="0.25">
      <c r="B224" s="27">
        <v>45102</v>
      </c>
      <c r="C224" s="28" t="s">
        <v>39</v>
      </c>
      <c r="D224" s="28">
        <v>2023</v>
      </c>
      <c r="E224" s="28" t="s">
        <v>14</v>
      </c>
      <c r="F224" s="28">
        <v>26</v>
      </c>
      <c r="G224" s="28" t="s">
        <v>93</v>
      </c>
      <c r="H224" s="28" t="s">
        <v>16</v>
      </c>
      <c r="I224" s="28" t="s">
        <v>16</v>
      </c>
      <c r="J224" s="28" t="s">
        <v>16</v>
      </c>
      <c r="K224" s="28" t="s">
        <v>75</v>
      </c>
      <c r="L224" s="29">
        <f t="shared" si="4"/>
        <v>236.34</v>
      </c>
    </row>
    <row r="225" spans="2:12" x14ac:dyDescent="0.25">
      <c r="B225" s="27">
        <v>45103</v>
      </c>
      <c r="C225" s="28" t="s">
        <v>39</v>
      </c>
      <c r="D225" s="28">
        <v>2023</v>
      </c>
      <c r="E225" s="28" t="s">
        <v>14</v>
      </c>
      <c r="F225" s="28">
        <v>3</v>
      </c>
      <c r="G225" s="28" t="s">
        <v>93</v>
      </c>
      <c r="H225" s="28" t="s">
        <v>16</v>
      </c>
      <c r="I225" s="28" t="s">
        <v>16</v>
      </c>
      <c r="J225" s="28" t="s">
        <v>16</v>
      </c>
      <c r="K225" s="28" t="s">
        <v>78</v>
      </c>
      <c r="L225" s="29">
        <f t="shared" si="4"/>
        <v>27.27</v>
      </c>
    </row>
    <row r="226" spans="2:12" x14ac:dyDescent="0.25">
      <c r="B226" s="27">
        <v>45104</v>
      </c>
      <c r="C226" s="28" t="s">
        <v>39</v>
      </c>
      <c r="D226" s="28">
        <v>2023</v>
      </c>
      <c r="E226" s="28" t="s">
        <v>15</v>
      </c>
      <c r="F226" s="28">
        <v>3</v>
      </c>
      <c r="G226" s="28" t="s">
        <v>85</v>
      </c>
      <c r="H226" s="28" t="s">
        <v>16</v>
      </c>
      <c r="I226" s="28" t="s">
        <v>16</v>
      </c>
      <c r="J226" s="28" t="s">
        <v>16</v>
      </c>
      <c r="K226" s="28" t="s">
        <v>78</v>
      </c>
      <c r="L226" s="29">
        <f t="shared" si="4"/>
        <v>27.27</v>
      </c>
    </row>
    <row r="227" spans="2:12" x14ac:dyDescent="0.25">
      <c r="B227" s="27">
        <v>45105</v>
      </c>
      <c r="C227" s="28" t="s">
        <v>39</v>
      </c>
      <c r="D227" s="28">
        <v>2023</v>
      </c>
      <c r="E227" s="28" t="s">
        <v>14</v>
      </c>
      <c r="F227" s="28">
        <v>26</v>
      </c>
      <c r="G227" s="28" t="s">
        <v>93</v>
      </c>
      <c r="H227" s="28" t="s">
        <v>16</v>
      </c>
      <c r="I227" s="28" t="s">
        <v>16</v>
      </c>
      <c r="J227" s="28" t="s">
        <v>16</v>
      </c>
      <c r="K227" s="28" t="s">
        <v>75</v>
      </c>
      <c r="L227" s="29">
        <f t="shared" si="4"/>
        <v>236.34</v>
      </c>
    </row>
    <row r="228" spans="2:12" x14ac:dyDescent="0.25">
      <c r="B228" s="27">
        <v>45107</v>
      </c>
      <c r="C228" s="28" t="s">
        <v>39</v>
      </c>
      <c r="D228" s="28">
        <v>2023</v>
      </c>
      <c r="E228" s="28" t="s">
        <v>14</v>
      </c>
      <c r="F228" s="28">
        <v>28</v>
      </c>
      <c r="G228" s="28" t="s">
        <v>93</v>
      </c>
      <c r="H228" s="28" t="s">
        <v>16</v>
      </c>
      <c r="I228" s="28" t="s">
        <v>16</v>
      </c>
      <c r="J228" s="28" t="s">
        <v>16</v>
      </c>
      <c r="K228" s="28" t="s">
        <v>79</v>
      </c>
      <c r="L228" s="29">
        <f t="shared" si="4"/>
        <v>254.51999999999998</v>
      </c>
    </row>
    <row r="229" spans="2:12" x14ac:dyDescent="0.25">
      <c r="B229" s="27">
        <v>45107</v>
      </c>
      <c r="C229" s="28" t="s">
        <v>39</v>
      </c>
      <c r="D229" s="28">
        <v>2023</v>
      </c>
      <c r="E229" s="28" t="s">
        <v>15</v>
      </c>
      <c r="F229" s="28">
        <v>4</v>
      </c>
      <c r="G229" s="28" t="s">
        <v>85</v>
      </c>
      <c r="H229" s="28" t="s">
        <v>16</v>
      </c>
      <c r="I229" s="28" t="s">
        <v>16</v>
      </c>
      <c r="J229" s="28" t="s">
        <v>16</v>
      </c>
      <c r="K229" s="28" t="s">
        <v>74</v>
      </c>
      <c r="L229" s="29">
        <f t="shared" si="4"/>
        <v>36.36</v>
      </c>
    </row>
    <row r="230" spans="2:12" x14ac:dyDescent="0.25">
      <c r="B230" s="27">
        <v>45109</v>
      </c>
      <c r="C230" s="28" t="s">
        <v>40</v>
      </c>
      <c r="D230" s="28">
        <v>2023</v>
      </c>
      <c r="E230" s="28" t="s">
        <v>14</v>
      </c>
      <c r="F230" s="28">
        <v>26</v>
      </c>
      <c r="G230" s="28" t="s">
        <v>93</v>
      </c>
      <c r="H230" s="28" t="s">
        <v>16</v>
      </c>
      <c r="I230" s="28" t="s">
        <v>16</v>
      </c>
      <c r="J230" s="28" t="s">
        <v>16</v>
      </c>
      <c r="K230" s="28" t="s">
        <v>75</v>
      </c>
      <c r="L230" s="29">
        <f t="shared" si="4"/>
        <v>236.34</v>
      </c>
    </row>
    <row r="231" spans="2:12" x14ac:dyDescent="0.25">
      <c r="B231" s="27">
        <v>45110</v>
      </c>
      <c r="C231" s="28" t="s">
        <v>40</v>
      </c>
      <c r="D231" s="28">
        <v>2023</v>
      </c>
      <c r="E231" s="28" t="s">
        <v>15</v>
      </c>
      <c r="F231" s="28">
        <v>6</v>
      </c>
      <c r="G231" s="28" t="s">
        <v>93</v>
      </c>
      <c r="H231" s="28" t="s">
        <v>16</v>
      </c>
      <c r="I231" s="28" t="s">
        <v>16</v>
      </c>
      <c r="J231" s="28" t="s">
        <v>16</v>
      </c>
      <c r="K231" s="28" t="s">
        <v>78</v>
      </c>
      <c r="L231" s="29">
        <f t="shared" si="4"/>
        <v>54.54</v>
      </c>
    </row>
    <row r="232" spans="2:12" x14ac:dyDescent="0.25">
      <c r="B232" s="27">
        <v>45111</v>
      </c>
      <c r="C232" s="28" t="s">
        <v>40</v>
      </c>
      <c r="D232" s="28">
        <v>2023</v>
      </c>
      <c r="E232" s="28" t="s">
        <v>15</v>
      </c>
      <c r="F232" s="28">
        <v>1</v>
      </c>
      <c r="G232" s="28" t="s">
        <v>111</v>
      </c>
      <c r="H232" s="28" t="s">
        <v>16</v>
      </c>
      <c r="I232" s="28" t="s">
        <v>16</v>
      </c>
      <c r="J232" s="28" t="s">
        <v>16</v>
      </c>
      <c r="K232" s="28" t="s">
        <v>83</v>
      </c>
      <c r="L232" s="29">
        <f t="shared" si="4"/>
        <v>9.09</v>
      </c>
    </row>
    <row r="233" spans="2:12" x14ac:dyDescent="0.25">
      <c r="B233" s="27">
        <v>45112</v>
      </c>
      <c r="C233" s="28" t="s">
        <v>40</v>
      </c>
      <c r="D233" s="28">
        <v>2023</v>
      </c>
      <c r="E233" s="28" t="s">
        <v>15</v>
      </c>
      <c r="F233" s="28">
        <v>3</v>
      </c>
      <c r="G233" s="28" t="s">
        <v>111</v>
      </c>
      <c r="H233" s="28" t="s">
        <v>16</v>
      </c>
      <c r="I233" s="28" t="s">
        <v>16</v>
      </c>
      <c r="J233" s="28" t="s">
        <v>16</v>
      </c>
      <c r="K233" s="28" t="s">
        <v>75</v>
      </c>
      <c r="L233" s="29">
        <f t="shared" si="4"/>
        <v>27.27</v>
      </c>
    </row>
    <row r="234" spans="2:12" x14ac:dyDescent="0.25">
      <c r="B234" s="27">
        <v>45112</v>
      </c>
      <c r="C234" s="28" t="s">
        <v>40</v>
      </c>
      <c r="D234" s="28">
        <v>2023</v>
      </c>
      <c r="E234" s="28" t="s">
        <v>15</v>
      </c>
      <c r="F234" s="28">
        <v>3</v>
      </c>
      <c r="G234" s="28" t="s">
        <v>111</v>
      </c>
      <c r="H234" s="28" t="s">
        <v>16</v>
      </c>
      <c r="I234" s="28" t="s">
        <v>16</v>
      </c>
      <c r="J234" s="28" t="s">
        <v>16</v>
      </c>
      <c r="K234" s="28" t="s">
        <v>75</v>
      </c>
      <c r="L234" s="29">
        <f t="shared" si="4"/>
        <v>27.27</v>
      </c>
    </row>
    <row r="235" spans="2:12" x14ac:dyDescent="0.25">
      <c r="B235" s="27">
        <v>45112</v>
      </c>
      <c r="C235" s="28" t="s">
        <v>40</v>
      </c>
      <c r="D235" s="28">
        <v>2023</v>
      </c>
      <c r="E235" s="28" t="s">
        <v>14</v>
      </c>
      <c r="F235" s="28">
        <v>6</v>
      </c>
      <c r="G235" s="28" t="s">
        <v>93</v>
      </c>
      <c r="H235" s="28" t="s">
        <v>16</v>
      </c>
      <c r="I235" s="28" t="s">
        <v>16</v>
      </c>
      <c r="J235" s="28" t="s">
        <v>16</v>
      </c>
      <c r="K235" s="28" t="s">
        <v>73</v>
      </c>
      <c r="L235" s="29">
        <f t="shared" si="4"/>
        <v>54.54</v>
      </c>
    </row>
    <row r="236" spans="2:12" x14ac:dyDescent="0.25">
      <c r="B236" s="27">
        <v>45114</v>
      </c>
      <c r="C236" s="28" t="s">
        <v>40</v>
      </c>
      <c r="D236" s="28">
        <v>2023</v>
      </c>
      <c r="E236" s="28" t="s">
        <v>15</v>
      </c>
      <c r="F236" s="28">
        <v>6</v>
      </c>
      <c r="G236" s="28" t="s">
        <v>111</v>
      </c>
      <c r="H236" s="28" t="s">
        <v>16</v>
      </c>
      <c r="I236" s="28" t="s">
        <v>16</v>
      </c>
      <c r="J236" s="28" t="s">
        <v>16</v>
      </c>
      <c r="K236" s="28" t="s">
        <v>76</v>
      </c>
      <c r="L236" s="29">
        <f t="shared" si="4"/>
        <v>54.54</v>
      </c>
    </row>
    <row r="237" spans="2:12" x14ac:dyDescent="0.25">
      <c r="B237" s="27">
        <v>45115</v>
      </c>
      <c r="C237" s="28" t="s">
        <v>40</v>
      </c>
      <c r="D237" s="28">
        <v>2023</v>
      </c>
      <c r="E237" s="28" t="s">
        <v>15</v>
      </c>
      <c r="F237" s="28">
        <v>1</v>
      </c>
      <c r="G237" s="28" t="s">
        <v>93</v>
      </c>
      <c r="H237" s="28" t="s">
        <v>16</v>
      </c>
      <c r="I237" s="28" t="s">
        <v>16</v>
      </c>
      <c r="J237" s="28" t="s">
        <v>16</v>
      </c>
      <c r="K237" s="28" t="s">
        <v>83</v>
      </c>
      <c r="L237" s="29">
        <f t="shared" si="4"/>
        <v>9.09</v>
      </c>
    </row>
    <row r="238" spans="2:12" x14ac:dyDescent="0.25">
      <c r="B238" s="27">
        <v>45115</v>
      </c>
      <c r="C238" s="28" t="s">
        <v>40</v>
      </c>
      <c r="D238" s="28">
        <v>2023</v>
      </c>
      <c r="E238" s="28" t="s">
        <v>14</v>
      </c>
      <c r="F238" s="28">
        <v>2</v>
      </c>
      <c r="G238" s="28" t="s">
        <v>93</v>
      </c>
      <c r="H238" s="28" t="s">
        <v>16</v>
      </c>
      <c r="I238" s="28" t="s">
        <v>16</v>
      </c>
      <c r="J238" s="28" t="s">
        <v>16</v>
      </c>
      <c r="K238" s="28" t="s">
        <v>83</v>
      </c>
      <c r="L238" s="29">
        <f t="shared" si="4"/>
        <v>18.18</v>
      </c>
    </row>
    <row r="239" spans="2:12" x14ac:dyDescent="0.25">
      <c r="B239" s="27">
        <v>45118</v>
      </c>
      <c r="C239" s="28" t="s">
        <v>40</v>
      </c>
      <c r="D239" s="28">
        <v>2023</v>
      </c>
      <c r="E239" s="28" t="s">
        <v>14</v>
      </c>
      <c r="F239" s="28">
        <v>2</v>
      </c>
      <c r="G239" s="28" t="s">
        <v>93</v>
      </c>
      <c r="H239" s="28" t="s">
        <v>16</v>
      </c>
      <c r="I239" s="28" t="s">
        <v>16</v>
      </c>
      <c r="J239" s="28" t="s">
        <v>16</v>
      </c>
      <c r="K239" s="28" t="s">
        <v>73</v>
      </c>
      <c r="L239" s="29">
        <f t="shared" si="4"/>
        <v>18.18</v>
      </c>
    </row>
    <row r="240" spans="2:12" x14ac:dyDescent="0.25">
      <c r="B240" s="27">
        <v>45118</v>
      </c>
      <c r="C240" s="28" t="s">
        <v>40</v>
      </c>
      <c r="D240" s="28">
        <v>2023</v>
      </c>
      <c r="E240" s="28" t="s">
        <v>15</v>
      </c>
      <c r="F240" s="28">
        <v>6</v>
      </c>
      <c r="G240" s="28" t="s">
        <v>93</v>
      </c>
      <c r="H240" s="28" t="s">
        <v>16</v>
      </c>
      <c r="I240" s="28" t="s">
        <v>16</v>
      </c>
      <c r="J240" s="28" t="s">
        <v>16</v>
      </c>
      <c r="K240" s="28" t="s">
        <v>76</v>
      </c>
      <c r="L240" s="29">
        <f t="shared" si="4"/>
        <v>54.54</v>
      </c>
    </row>
    <row r="241" spans="2:12" x14ac:dyDescent="0.25">
      <c r="B241" s="27">
        <v>45119</v>
      </c>
      <c r="C241" s="28" t="s">
        <v>40</v>
      </c>
      <c r="D241" s="28">
        <v>2023</v>
      </c>
      <c r="E241" s="28" t="s">
        <v>15</v>
      </c>
      <c r="F241" s="28">
        <v>3</v>
      </c>
      <c r="G241" s="28" t="s">
        <v>97</v>
      </c>
      <c r="H241" s="28" t="s">
        <v>16</v>
      </c>
      <c r="I241" s="28" t="s">
        <v>16</v>
      </c>
      <c r="J241" s="28" t="s">
        <v>16</v>
      </c>
      <c r="K241" s="28" t="s">
        <v>78</v>
      </c>
      <c r="L241" s="29">
        <f t="shared" si="4"/>
        <v>27.27</v>
      </c>
    </row>
    <row r="242" spans="2:12" x14ac:dyDescent="0.25">
      <c r="B242" s="27">
        <v>45119</v>
      </c>
      <c r="C242" s="28" t="s">
        <v>40</v>
      </c>
      <c r="D242" s="28">
        <v>2023</v>
      </c>
      <c r="E242" s="28" t="s">
        <v>14</v>
      </c>
      <c r="F242" s="28">
        <v>4</v>
      </c>
      <c r="G242" s="28" t="s">
        <v>97</v>
      </c>
      <c r="H242" s="28" t="s">
        <v>16</v>
      </c>
      <c r="I242" s="28" t="s">
        <v>16</v>
      </c>
      <c r="J242" s="28" t="s">
        <v>16</v>
      </c>
      <c r="K242" s="28" t="s">
        <v>78</v>
      </c>
      <c r="L242" s="29">
        <f t="shared" si="4"/>
        <v>36.36</v>
      </c>
    </row>
    <row r="243" spans="2:12" x14ac:dyDescent="0.25">
      <c r="B243" s="27">
        <v>45119</v>
      </c>
      <c r="C243" s="28" t="s">
        <v>40</v>
      </c>
      <c r="D243" s="28">
        <v>2023</v>
      </c>
      <c r="E243" s="28" t="s">
        <v>15</v>
      </c>
      <c r="F243" s="28">
        <v>2</v>
      </c>
      <c r="G243" s="28" t="s">
        <v>94</v>
      </c>
      <c r="H243" s="28" t="s">
        <v>16</v>
      </c>
      <c r="I243" s="28" t="s">
        <v>16</v>
      </c>
      <c r="J243" s="28" t="s">
        <v>16</v>
      </c>
      <c r="K243" s="28" t="s">
        <v>78</v>
      </c>
      <c r="L243" s="29">
        <f t="shared" si="4"/>
        <v>18.18</v>
      </c>
    </row>
    <row r="244" spans="2:12" x14ac:dyDescent="0.25">
      <c r="B244" s="27">
        <v>45119</v>
      </c>
      <c r="C244" s="28" t="s">
        <v>40</v>
      </c>
      <c r="D244" s="28">
        <v>2023</v>
      </c>
      <c r="E244" s="28" t="s">
        <v>15</v>
      </c>
      <c r="F244" s="28">
        <v>6</v>
      </c>
      <c r="G244" s="28" t="s">
        <v>111</v>
      </c>
      <c r="H244" s="28" t="s">
        <v>16</v>
      </c>
      <c r="I244" s="28" t="s">
        <v>16</v>
      </c>
      <c r="J244" s="28" t="s">
        <v>16</v>
      </c>
      <c r="K244" s="28" t="s">
        <v>75</v>
      </c>
      <c r="L244" s="29">
        <f t="shared" si="4"/>
        <v>54.54</v>
      </c>
    </row>
    <row r="245" spans="2:12" x14ac:dyDescent="0.25">
      <c r="B245" s="27">
        <v>45121</v>
      </c>
      <c r="C245" s="28" t="s">
        <v>40</v>
      </c>
      <c r="D245" s="28">
        <v>2023</v>
      </c>
      <c r="E245" s="28" t="s">
        <v>15</v>
      </c>
      <c r="F245" s="28">
        <v>6</v>
      </c>
      <c r="G245" s="28" t="s">
        <v>111</v>
      </c>
      <c r="H245" s="28" t="s">
        <v>16</v>
      </c>
      <c r="I245" s="28" t="s">
        <v>16</v>
      </c>
      <c r="J245" s="28" t="s">
        <v>16</v>
      </c>
      <c r="K245" s="28" t="s">
        <v>76</v>
      </c>
      <c r="L245" s="29">
        <f t="shared" si="4"/>
        <v>54.54</v>
      </c>
    </row>
    <row r="246" spans="2:12" x14ac:dyDescent="0.25">
      <c r="B246" s="27">
        <v>45123</v>
      </c>
      <c r="C246" s="28" t="s">
        <v>40</v>
      </c>
      <c r="D246" s="28">
        <v>2023</v>
      </c>
      <c r="E246" s="28" t="s">
        <v>15</v>
      </c>
      <c r="F246" s="28">
        <v>2</v>
      </c>
      <c r="G246" s="28" t="s">
        <v>111</v>
      </c>
      <c r="H246" s="28" t="s">
        <v>16</v>
      </c>
      <c r="I246" s="28" t="s">
        <v>16</v>
      </c>
      <c r="J246" s="28" t="s">
        <v>16</v>
      </c>
      <c r="K246" s="28" t="s">
        <v>79</v>
      </c>
      <c r="L246" s="29">
        <f t="shared" si="4"/>
        <v>18.18</v>
      </c>
    </row>
    <row r="247" spans="2:12" x14ac:dyDescent="0.25">
      <c r="B247" s="27">
        <v>45125</v>
      </c>
      <c r="C247" s="28" t="s">
        <v>40</v>
      </c>
      <c r="D247" s="28">
        <v>2023</v>
      </c>
      <c r="E247" s="28" t="s">
        <v>14</v>
      </c>
      <c r="F247" s="28">
        <v>4</v>
      </c>
      <c r="G247" s="28" t="s">
        <v>108</v>
      </c>
      <c r="H247" s="28" t="s">
        <v>16</v>
      </c>
      <c r="I247" s="28" t="s">
        <v>16</v>
      </c>
      <c r="J247" s="28" t="s">
        <v>16</v>
      </c>
      <c r="K247" s="28" t="s">
        <v>83</v>
      </c>
      <c r="L247" s="29">
        <f t="shared" ref="L247:L310" si="5">F247*9.09</f>
        <v>36.36</v>
      </c>
    </row>
    <row r="248" spans="2:12" x14ac:dyDescent="0.25">
      <c r="B248" s="27">
        <v>45125</v>
      </c>
      <c r="C248" s="28" t="s">
        <v>40</v>
      </c>
      <c r="D248" s="28">
        <v>2023</v>
      </c>
      <c r="E248" s="28" t="s">
        <v>14</v>
      </c>
      <c r="F248" s="28">
        <v>4</v>
      </c>
      <c r="G248" s="28" t="s">
        <v>93</v>
      </c>
      <c r="H248" s="28" t="s">
        <v>16</v>
      </c>
      <c r="I248" s="28" t="s">
        <v>16</v>
      </c>
      <c r="J248" s="28" t="s">
        <v>16</v>
      </c>
      <c r="K248" s="28" t="s">
        <v>83</v>
      </c>
      <c r="L248" s="29">
        <f t="shared" si="5"/>
        <v>36.36</v>
      </c>
    </row>
    <row r="249" spans="2:12" x14ac:dyDescent="0.25">
      <c r="B249" s="27">
        <v>45125</v>
      </c>
      <c r="C249" s="28" t="s">
        <v>40</v>
      </c>
      <c r="D249" s="28">
        <v>2023</v>
      </c>
      <c r="E249" s="28" t="s">
        <v>15</v>
      </c>
      <c r="F249" s="28">
        <v>6</v>
      </c>
      <c r="G249" s="28" t="s">
        <v>94</v>
      </c>
      <c r="H249" s="28" t="s">
        <v>16</v>
      </c>
      <c r="I249" s="28" t="s">
        <v>16</v>
      </c>
      <c r="J249" s="28" t="s">
        <v>16</v>
      </c>
      <c r="K249" s="28" t="s">
        <v>83</v>
      </c>
      <c r="L249" s="29">
        <f t="shared" si="5"/>
        <v>54.54</v>
      </c>
    </row>
    <row r="250" spans="2:12" x14ac:dyDescent="0.25">
      <c r="B250" s="27">
        <v>45125</v>
      </c>
      <c r="C250" s="28" t="s">
        <v>40</v>
      </c>
      <c r="D250" s="28">
        <v>2023</v>
      </c>
      <c r="E250" s="28" t="s">
        <v>14</v>
      </c>
      <c r="F250" s="28">
        <v>26</v>
      </c>
      <c r="G250" s="28" t="s">
        <v>93</v>
      </c>
      <c r="H250" s="28" t="s">
        <v>16</v>
      </c>
      <c r="I250" s="28" t="s">
        <v>16</v>
      </c>
      <c r="J250" s="28" t="s">
        <v>16</v>
      </c>
      <c r="K250" s="28" t="s">
        <v>78</v>
      </c>
      <c r="L250" s="29">
        <f t="shared" si="5"/>
        <v>236.34</v>
      </c>
    </row>
    <row r="251" spans="2:12" x14ac:dyDescent="0.25">
      <c r="B251" s="27">
        <v>45128</v>
      </c>
      <c r="C251" s="28" t="s">
        <v>40</v>
      </c>
      <c r="D251" s="28">
        <v>2023</v>
      </c>
      <c r="E251" s="28" t="s">
        <v>14</v>
      </c>
      <c r="F251" s="28">
        <v>26</v>
      </c>
      <c r="G251" s="28" t="s">
        <v>93</v>
      </c>
      <c r="H251" s="28" t="s">
        <v>16</v>
      </c>
      <c r="I251" s="28" t="s">
        <v>16</v>
      </c>
      <c r="J251" s="28" t="s">
        <v>16</v>
      </c>
      <c r="K251" s="28" t="s">
        <v>75</v>
      </c>
      <c r="L251" s="29">
        <f t="shared" si="5"/>
        <v>236.34</v>
      </c>
    </row>
    <row r="252" spans="2:12" x14ac:dyDescent="0.25">
      <c r="B252" s="27">
        <v>45128</v>
      </c>
      <c r="C252" s="28" t="s">
        <v>40</v>
      </c>
      <c r="D252" s="28">
        <v>2023</v>
      </c>
      <c r="E252" s="28" t="s">
        <v>15</v>
      </c>
      <c r="F252" s="28">
        <v>3</v>
      </c>
      <c r="G252" s="28" t="s">
        <v>94</v>
      </c>
      <c r="H252" s="28" t="s">
        <v>16</v>
      </c>
      <c r="I252" s="28" t="s">
        <v>16</v>
      </c>
      <c r="J252" s="28" t="s">
        <v>16</v>
      </c>
      <c r="K252" s="28" t="s">
        <v>75</v>
      </c>
      <c r="L252" s="29">
        <f t="shared" si="5"/>
        <v>27.27</v>
      </c>
    </row>
    <row r="253" spans="2:12" x14ac:dyDescent="0.25">
      <c r="B253" s="27">
        <v>45129</v>
      </c>
      <c r="C253" s="28" t="s">
        <v>40</v>
      </c>
      <c r="D253" s="28">
        <v>2023</v>
      </c>
      <c r="E253" s="28" t="s">
        <v>15</v>
      </c>
      <c r="F253" s="28">
        <v>1</v>
      </c>
      <c r="G253" s="28" t="s">
        <v>93</v>
      </c>
      <c r="H253" s="28" t="s">
        <v>16</v>
      </c>
      <c r="I253" s="28" t="s">
        <v>16</v>
      </c>
      <c r="J253" s="28" t="s">
        <v>16</v>
      </c>
      <c r="K253" s="28" t="s">
        <v>83</v>
      </c>
      <c r="L253" s="29">
        <f t="shared" si="5"/>
        <v>9.09</v>
      </c>
    </row>
    <row r="254" spans="2:12" x14ac:dyDescent="0.25">
      <c r="B254" s="27">
        <v>45130</v>
      </c>
      <c r="C254" s="28" t="s">
        <v>40</v>
      </c>
      <c r="D254" s="28">
        <v>2023</v>
      </c>
      <c r="E254" s="28" t="s">
        <v>15</v>
      </c>
      <c r="F254" s="28">
        <v>4</v>
      </c>
      <c r="G254" s="28" t="s">
        <v>106</v>
      </c>
      <c r="H254" s="28" t="s">
        <v>16</v>
      </c>
      <c r="I254" s="28" t="s">
        <v>16</v>
      </c>
      <c r="J254" s="28" t="s">
        <v>16</v>
      </c>
      <c r="K254" s="28" t="s">
        <v>83</v>
      </c>
      <c r="L254" s="29">
        <f t="shared" si="5"/>
        <v>36.36</v>
      </c>
    </row>
    <row r="255" spans="2:12" x14ac:dyDescent="0.25">
      <c r="B255" s="27">
        <v>45131</v>
      </c>
      <c r="C255" s="28" t="s">
        <v>40</v>
      </c>
      <c r="D255" s="28">
        <v>2023</v>
      </c>
      <c r="E255" s="28" t="s">
        <v>15</v>
      </c>
      <c r="F255" s="28">
        <v>28</v>
      </c>
      <c r="G255" s="28" t="s">
        <v>93</v>
      </c>
      <c r="H255" s="28" t="s">
        <v>16</v>
      </c>
      <c r="I255" s="28" t="s">
        <v>16</v>
      </c>
      <c r="J255" s="28" t="s">
        <v>16</v>
      </c>
      <c r="K255" s="28" t="s">
        <v>76</v>
      </c>
      <c r="L255" s="29">
        <f t="shared" si="5"/>
        <v>254.51999999999998</v>
      </c>
    </row>
    <row r="256" spans="2:12" x14ac:dyDescent="0.25">
      <c r="B256" s="27">
        <v>45138</v>
      </c>
      <c r="C256" s="28" t="s">
        <v>40</v>
      </c>
      <c r="D256" s="28">
        <v>2023</v>
      </c>
      <c r="E256" s="28" t="s">
        <v>14</v>
      </c>
      <c r="F256" s="28">
        <v>5</v>
      </c>
      <c r="G256" s="28" t="s">
        <v>94</v>
      </c>
      <c r="H256" s="28" t="s">
        <v>16</v>
      </c>
      <c r="I256" s="28" t="s">
        <v>16</v>
      </c>
      <c r="J256" s="28" t="s">
        <v>16</v>
      </c>
      <c r="K256" s="28" t="s">
        <v>83</v>
      </c>
      <c r="L256" s="29">
        <f t="shared" si="5"/>
        <v>45.45</v>
      </c>
    </row>
    <row r="257" spans="2:12" x14ac:dyDescent="0.25">
      <c r="B257" s="27">
        <v>45138</v>
      </c>
      <c r="C257" s="28" t="s">
        <v>40</v>
      </c>
      <c r="D257" s="28">
        <v>2023</v>
      </c>
      <c r="E257" s="28" t="s">
        <v>14</v>
      </c>
      <c r="F257" s="28">
        <v>10</v>
      </c>
      <c r="G257" s="28" t="s">
        <v>93</v>
      </c>
      <c r="H257" s="28" t="s">
        <v>16</v>
      </c>
      <c r="I257" s="28" t="s">
        <v>16</v>
      </c>
      <c r="J257" s="28" t="s">
        <v>16</v>
      </c>
      <c r="K257" s="28" t="s">
        <v>78</v>
      </c>
      <c r="L257" s="29">
        <f t="shared" si="5"/>
        <v>90.9</v>
      </c>
    </row>
    <row r="258" spans="2:12" x14ac:dyDescent="0.25">
      <c r="B258" s="27">
        <v>45141</v>
      </c>
      <c r="C258" s="28" t="s">
        <v>41</v>
      </c>
      <c r="D258" s="28">
        <v>2023</v>
      </c>
      <c r="E258" s="28" t="s">
        <v>15</v>
      </c>
      <c r="F258" s="28">
        <v>8</v>
      </c>
      <c r="G258" s="28" t="s">
        <v>111</v>
      </c>
      <c r="H258" s="28" t="s">
        <v>16</v>
      </c>
      <c r="I258" s="28" t="s">
        <v>16</v>
      </c>
      <c r="J258" s="28" t="s">
        <v>16</v>
      </c>
      <c r="K258" s="28" t="s">
        <v>75</v>
      </c>
      <c r="L258" s="29">
        <f t="shared" si="5"/>
        <v>72.72</v>
      </c>
    </row>
    <row r="259" spans="2:12" x14ac:dyDescent="0.25">
      <c r="B259" s="27">
        <v>45142</v>
      </c>
      <c r="C259" s="28" t="s">
        <v>41</v>
      </c>
      <c r="D259" s="28">
        <v>2023</v>
      </c>
      <c r="E259" s="28" t="s">
        <v>15</v>
      </c>
      <c r="F259" s="28">
        <v>4</v>
      </c>
      <c r="G259" s="28" t="s">
        <v>94</v>
      </c>
      <c r="H259" s="28" t="s">
        <v>16</v>
      </c>
      <c r="I259" s="28" t="s">
        <v>16</v>
      </c>
      <c r="J259" s="28" t="s">
        <v>16</v>
      </c>
      <c r="K259" s="28" t="s">
        <v>78</v>
      </c>
      <c r="L259" s="29">
        <f t="shared" si="5"/>
        <v>36.36</v>
      </c>
    </row>
    <row r="260" spans="2:12" x14ac:dyDescent="0.25">
      <c r="B260" s="27">
        <v>45142</v>
      </c>
      <c r="C260" s="28" t="s">
        <v>41</v>
      </c>
      <c r="D260" s="28">
        <v>2023</v>
      </c>
      <c r="E260" s="28" t="s">
        <v>14</v>
      </c>
      <c r="F260" s="28">
        <v>26</v>
      </c>
      <c r="G260" s="28" t="s">
        <v>93</v>
      </c>
      <c r="H260" s="28" t="s">
        <v>16</v>
      </c>
      <c r="I260" s="28" t="s">
        <v>16</v>
      </c>
      <c r="J260" s="28" t="s">
        <v>16</v>
      </c>
      <c r="K260" s="28" t="s">
        <v>75</v>
      </c>
      <c r="L260" s="29">
        <f t="shared" si="5"/>
        <v>236.34</v>
      </c>
    </row>
    <row r="261" spans="2:12" x14ac:dyDescent="0.25">
      <c r="B261" s="27">
        <v>45142</v>
      </c>
      <c r="C261" s="28" t="s">
        <v>41</v>
      </c>
      <c r="D261" s="28">
        <v>2023</v>
      </c>
      <c r="E261" s="28" t="s">
        <v>15</v>
      </c>
      <c r="F261" s="28">
        <v>1</v>
      </c>
      <c r="G261" s="28" t="s">
        <v>94</v>
      </c>
      <c r="H261" s="28" t="s">
        <v>16</v>
      </c>
      <c r="I261" s="28" t="s">
        <v>16</v>
      </c>
      <c r="J261" s="28" t="s">
        <v>16</v>
      </c>
      <c r="K261" s="28" t="s">
        <v>78</v>
      </c>
      <c r="L261" s="29">
        <f t="shared" si="5"/>
        <v>9.09</v>
      </c>
    </row>
    <row r="262" spans="2:12" x14ac:dyDescent="0.25">
      <c r="B262" s="27">
        <v>45143</v>
      </c>
      <c r="C262" s="28" t="s">
        <v>41</v>
      </c>
      <c r="D262" s="28">
        <v>2023</v>
      </c>
      <c r="E262" s="28" t="s">
        <v>15</v>
      </c>
      <c r="F262" s="28">
        <v>3</v>
      </c>
      <c r="G262" s="28" t="s">
        <v>94</v>
      </c>
      <c r="H262" s="28" t="s">
        <v>16</v>
      </c>
      <c r="I262" s="28" t="s">
        <v>16</v>
      </c>
      <c r="J262" s="28" t="s">
        <v>16</v>
      </c>
      <c r="K262" s="28" t="s">
        <v>78</v>
      </c>
      <c r="L262" s="29">
        <f t="shared" si="5"/>
        <v>27.27</v>
      </c>
    </row>
    <row r="263" spans="2:12" x14ac:dyDescent="0.25">
      <c r="B263" s="27">
        <v>45144</v>
      </c>
      <c r="C263" s="28" t="s">
        <v>41</v>
      </c>
      <c r="D263" s="28">
        <v>2023</v>
      </c>
      <c r="E263" s="28" t="s">
        <v>15</v>
      </c>
      <c r="F263" s="28">
        <v>3</v>
      </c>
      <c r="G263" s="28" t="s">
        <v>111</v>
      </c>
      <c r="H263" s="28" t="s">
        <v>16</v>
      </c>
      <c r="I263" s="28" t="s">
        <v>16</v>
      </c>
      <c r="J263" s="28" t="s">
        <v>16</v>
      </c>
      <c r="K263" s="28" t="s">
        <v>75</v>
      </c>
      <c r="L263" s="29">
        <f t="shared" si="5"/>
        <v>27.27</v>
      </c>
    </row>
    <row r="264" spans="2:12" x14ac:dyDescent="0.25">
      <c r="B264" s="27">
        <v>45145</v>
      </c>
      <c r="C264" s="28" t="s">
        <v>41</v>
      </c>
      <c r="D264" s="28">
        <v>2023</v>
      </c>
      <c r="E264" s="28" t="s">
        <v>14</v>
      </c>
      <c r="F264" s="28">
        <v>1</v>
      </c>
      <c r="G264" s="28" t="s">
        <v>93</v>
      </c>
      <c r="H264" s="28" t="s">
        <v>16</v>
      </c>
      <c r="I264" s="28" t="s">
        <v>16</v>
      </c>
      <c r="J264" s="28" t="s">
        <v>16</v>
      </c>
      <c r="K264" s="28" t="s">
        <v>83</v>
      </c>
      <c r="L264" s="29">
        <f t="shared" si="5"/>
        <v>9.09</v>
      </c>
    </row>
    <row r="265" spans="2:12" x14ac:dyDescent="0.25">
      <c r="B265" s="27">
        <v>45145</v>
      </c>
      <c r="C265" s="28" t="s">
        <v>41</v>
      </c>
      <c r="D265" s="28">
        <v>2023</v>
      </c>
      <c r="E265" s="28" t="s">
        <v>14</v>
      </c>
      <c r="F265" s="28">
        <v>1</v>
      </c>
      <c r="G265" s="28" t="s">
        <v>93</v>
      </c>
      <c r="H265" s="28" t="s">
        <v>16</v>
      </c>
      <c r="I265" s="28" t="s">
        <v>16</v>
      </c>
      <c r="J265" s="28" t="s">
        <v>16</v>
      </c>
      <c r="K265" s="28" t="s">
        <v>83</v>
      </c>
      <c r="L265" s="29">
        <f t="shared" si="5"/>
        <v>9.09</v>
      </c>
    </row>
    <row r="266" spans="2:12" x14ac:dyDescent="0.25">
      <c r="B266" s="27">
        <v>45147</v>
      </c>
      <c r="C266" s="28" t="s">
        <v>41</v>
      </c>
      <c r="D266" s="28">
        <v>2023</v>
      </c>
      <c r="E266" s="28" t="s">
        <v>14</v>
      </c>
      <c r="F266" s="28">
        <v>3</v>
      </c>
      <c r="G266" s="28" t="s">
        <v>85</v>
      </c>
      <c r="H266" s="28" t="s">
        <v>16</v>
      </c>
      <c r="I266" s="28" t="s">
        <v>16</v>
      </c>
      <c r="J266" s="28" t="s">
        <v>16</v>
      </c>
      <c r="K266" s="28" t="s">
        <v>73</v>
      </c>
      <c r="L266" s="29">
        <f t="shared" si="5"/>
        <v>27.27</v>
      </c>
    </row>
    <row r="267" spans="2:12" x14ac:dyDescent="0.25">
      <c r="B267" s="27">
        <v>45148</v>
      </c>
      <c r="C267" s="28" t="s">
        <v>41</v>
      </c>
      <c r="D267" s="28">
        <v>2023</v>
      </c>
      <c r="E267" s="28" t="s">
        <v>15</v>
      </c>
      <c r="F267" s="28">
        <v>7</v>
      </c>
      <c r="G267" s="28" t="s">
        <v>111</v>
      </c>
      <c r="H267" s="28" t="s">
        <v>16</v>
      </c>
      <c r="I267" s="28" t="s">
        <v>16</v>
      </c>
      <c r="J267" s="28" t="s">
        <v>16</v>
      </c>
      <c r="K267" s="28" t="s">
        <v>79</v>
      </c>
      <c r="L267" s="29">
        <f t="shared" si="5"/>
        <v>63.629999999999995</v>
      </c>
    </row>
    <row r="268" spans="2:12" x14ac:dyDescent="0.25">
      <c r="B268" s="27">
        <v>45148</v>
      </c>
      <c r="C268" s="28" t="s">
        <v>41</v>
      </c>
      <c r="D268" s="28">
        <v>2023</v>
      </c>
      <c r="E268" s="28" t="s">
        <v>14</v>
      </c>
      <c r="F268" s="28">
        <v>26</v>
      </c>
      <c r="G268" s="28" t="s">
        <v>93</v>
      </c>
      <c r="H268" s="28" t="s">
        <v>16</v>
      </c>
      <c r="I268" s="28" t="s">
        <v>16</v>
      </c>
      <c r="J268" s="28" t="s">
        <v>16</v>
      </c>
      <c r="K268" s="28" t="s">
        <v>79</v>
      </c>
      <c r="L268" s="29">
        <f t="shared" si="5"/>
        <v>236.34</v>
      </c>
    </row>
    <row r="269" spans="2:12" x14ac:dyDescent="0.25">
      <c r="B269" s="27">
        <v>45149</v>
      </c>
      <c r="C269" s="28" t="s">
        <v>41</v>
      </c>
      <c r="D269" s="28">
        <v>2023</v>
      </c>
      <c r="E269" s="28" t="s">
        <v>15</v>
      </c>
      <c r="F269" s="28">
        <v>2</v>
      </c>
      <c r="G269" s="28" t="s">
        <v>111</v>
      </c>
      <c r="H269" s="28" t="s">
        <v>16</v>
      </c>
      <c r="I269" s="28" t="s">
        <v>16</v>
      </c>
      <c r="J269" s="28" t="s">
        <v>16</v>
      </c>
      <c r="K269" s="28" t="s">
        <v>79</v>
      </c>
      <c r="L269" s="29">
        <f t="shared" si="5"/>
        <v>18.18</v>
      </c>
    </row>
    <row r="270" spans="2:12" x14ac:dyDescent="0.25">
      <c r="B270" s="27">
        <v>45149</v>
      </c>
      <c r="C270" s="28" t="s">
        <v>41</v>
      </c>
      <c r="D270" s="28">
        <v>2023</v>
      </c>
      <c r="E270" s="28" t="s">
        <v>14</v>
      </c>
      <c r="F270" s="28">
        <v>24</v>
      </c>
      <c r="G270" s="28" t="s">
        <v>94</v>
      </c>
      <c r="H270" s="28" t="s">
        <v>16</v>
      </c>
      <c r="I270" s="28" t="s">
        <v>16</v>
      </c>
      <c r="J270" s="28" t="s">
        <v>16</v>
      </c>
      <c r="K270" s="28" t="s">
        <v>79</v>
      </c>
      <c r="L270" s="29">
        <f t="shared" si="5"/>
        <v>218.16</v>
      </c>
    </row>
    <row r="271" spans="2:12" x14ac:dyDescent="0.25">
      <c r="B271" s="27">
        <v>45149</v>
      </c>
      <c r="C271" s="28" t="s">
        <v>41</v>
      </c>
      <c r="D271" s="28">
        <v>2023</v>
      </c>
      <c r="E271" s="28" t="s">
        <v>15</v>
      </c>
      <c r="F271" s="28">
        <v>2</v>
      </c>
      <c r="G271" s="28" t="s">
        <v>111</v>
      </c>
      <c r="H271" s="28" t="s">
        <v>16</v>
      </c>
      <c r="I271" s="28" t="s">
        <v>16</v>
      </c>
      <c r="J271" s="28" t="s">
        <v>16</v>
      </c>
      <c r="K271" s="28" t="s">
        <v>76</v>
      </c>
      <c r="L271" s="29">
        <f t="shared" si="5"/>
        <v>18.18</v>
      </c>
    </row>
    <row r="272" spans="2:12" x14ac:dyDescent="0.25">
      <c r="B272" s="27">
        <v>45150</v>
      </c>
      <c r="C272" s="28" t="s">
        <v>41</v>
      </c>
      <c r="D272" s="28">
        <v>2023</v>
      </c>
      <c r="E272" s="28" t="s">
        <v>15</v>
      </c>
      <c r="F272" s="28">
        <v>1</v>
      </c>
      <c r="G272" s="28" t="s">
        <v>93</v>
      </c>
      <c r="H272" s="28" t="s">
        <v>16</v>
      </c>
      <c r="I272" s="28" t="s">
        <v>16</v>
      </c>
      <c r="J272" s="28" t="s">
        <v>16</v>
      </c>
      <c r="K272" s="28" t="s">
        <v>83</v>
      </c>
      <c r="L272" s="29">
        <f t="shared" si="5"/>
        <v>9.09</v>
      </c>
    </row>
    <row r="273" spans="2:12" x14ac:dyDescent="0.25">
      <c r="B273" s="27">
        <v>45150</v>
      </c>
      <c r="C273" s="28" t="s">
        <v>41</v>
      </c>
      <c r="D273" s="28">
        <v>2023</v>
      </c>
      <c r="E273" s="28" t="s">
        <v>15</v>
      </c>
      <c r="F273" s="28">
        <v>3</v>
      </c>
      <c r="G273" s="28" t="s">
        <v>85</v>
      </c>
      <c r="H273" s="28" t="s">
        <v>16</v>
      </c>
      <c r="I273" s="28" t="s">
        <v>16</v>
      </c>
      <c r="J273" s="28" t="s">
        <v>16</v>
      </c>
      <c r="K273" s="28" t="s">
        <v>78</v>
      </c>
      <c r="L273" s="29">
        <f t="shared" si="5"/>
        <v>27.27</v>
      </c>
    </row>
    <row r="274" spans="2:12" x14ac:dyDescent="0.25">
      <c r="B274" s="27">
        <v>45150</v>
      </c>
      <c r="C274" s="28" t="s">
        <v>41</v>
      </c>
      <c r="D274" s="28">
        <v>2023</v>
      </c>
      <c r="E274" s="28" t="s">
        <v>15</v>
      </c>
      <c r="F274" s="28">
        <v>3</v>
      </c>
      <c r="G274" s="28" t="s">
        <v>94</v>
      </c>
      <c r="H274" s="28" t="s">
        <v>16</v>
      </c>
      <c r="I274" s="28" t="s">
        <v>16</v>
      </c>
      <c r="J274" s="28" t="s">
        <v>16</v>
      </c>
      <c r="K274" s="28" t="s">
        <v>78</v>
      </c>
      <c r="L274" s="29">
        <f t="shared" si="5"/>
        <v>27.27</v>
      </c>
    </row>
    <row r="275" spans="2:12" x14ac:dyDescent="0.25">
      <c r="B275" s="27">
        <v>45152</v>
      </c>
      <c r="C275" s="28" t="s">
        <v>41</v>
      </c>
      <c r="D275" s="28">
        <v>2023</v>
      </c>
      <c r="E275" s="28" t="s">
        <v>14</v>
      </c>
      <c r="F275" s="28">
        <v>26</v>
      </c>
      <c r="G275" s="28" t="s">
        <v>93</v>
      </c>
      <c r="H275" s="28" t="s">
        <v>16</v>
      </c>
      <c r="I275" s="28" t="s">
        <v>16</v>
      </c>
      <c r="J275" s="28" t="s">
        <v>16</v>
      </c>
      <c r="K275" s="28" t="s">
        <v>78</v>
      </c>
      <c r="L275" s="29">
        <f t="shared" si="5"/>
        <v>236.34</v>
      </c>
    </row>
    <row r="276" spans="2:12" x14ac:dyDescent="0.25">
      <c r="B276" s="27">
        <v>45153</v>
      </c>
      <c r="C276" s="28" t="s">
        <v>41</v>
      </c>
      <c r="D276" s="28">
        <v>2023</v>
      </c>
      <c r="E276" s="28" t="s">
        <v>15</v>
      </c>
      <c r="F276" s="28">
        <v>7</v>
      </c>
      <c r="G276" s="28" t="s">
        <v>111</v>
      </c>
      <c r="H276" s="28" t="s">
        <v>16</v>
      </c>
      <c r="I276" s="28" t="s">
        <v>16</v>
      </c>
      <c r="J276" s="28" t="s">
        <v>16</v>
      </c>
      <c r="K276" s="28" t="s">
        <v>78</v>
      </c>
      <c r="L276" s="29">
        <f t="shared" si="5"/>
        <v>63.629999999999995</v>
      </c>
    </row>
    <row r="277" spans="2:12" x14ac:dyDescent="0.25">
      <c r="B277" s="27">
        <v>45153</v>
      </c>
      <c r="C277" s="28" t="s">
        <v>41</v>
      </c>
      <c r="D277" s="28">
        <v>2023</v>
      </c>
      <c r="E277" s="28" t="s">
        <v>14</v>
      </c>
      <c r="F277" s="28">
        <v>26</v>
      </c>
      <c r="G277" s="28" t="s">
        <v>93</v>
      </c>
      <c r="H277" s="28" t="s">
        <v>16</v>
      </c>
      <c r="I277" s="28" t="s">
        <v>16</v>
      </c>
      <c r="J277" s="28" t="s">
        <v>16</v>
      </c>
      <c r="K277" s="28" t="s">
        <v>75</v>
      </c>
      <c r="L277" s="29">
        <f t="shared" si="5"/>
        <v>236.34</v>
      </c>
    </row>
    <row r="278" spans="2:12" x14ac:dyDescent="0.25">
      <c r="B278" s="27">
        <v>45156</v>
      </c>
      <c r="C278" s="28" t="s">
        <v>41</v>
      </c>
      <c r="D278" s="28">
        <v>2023</v>
      </c>
      <c r="E278" s="28" t="s">
        <v>15</v>
      </c>
      <c r="F278" s="28">
        <v>4</v>
      </c>
      <c r="G278" s="28" t="s">
        <v>111</v>
      </c>
      <c r="H278" s="28" t="s">
        <v>16</v>
      </c>
      <c r="I278" s="28" t="s">
        <v>16</v>
      </c>
      <c r="J278" s="28" t="s">
        <v>16</v>
      </c>
      <c r="K278" s="28" t="s">
        <v>79</v>
      </c>
      <c r="L278" s="29">
        <f t="shared" si="5"/>
        <v>36.36</v>
      </c>
    </row>
    <row r="279" spans="2:12" x14ac:dyDescent="0.25">
      <c r="B279" s="27">
        <v>45156</v>
      </c>
      <c r="C279" s="28" t="s">
        <v>41</v>
      </c>
      <c r="D279" s="28">
        <v>2023</v>
      </c>
      <c r="E279" s="28" t="s">
        <v>14</v>
      </c>
      <c r="F279" s="28">
        <v>17</v>
      </c>
      <c r="G279" s="28" t="s">
        <v>93</v>
      </c>
      <c r="H279" s="28" t="s">
        <v>16</v>
      </c>
      <c r="I279" s="28" t="s">
        <v>16</v>
      </c>
      <c r="J279" s="28" t="s">
        <v>16</v>
      </c>
      <c r="K279" s="28" t="s">
        <v>79</v>
      </c>
      <c r="L279" s="29">
        <f t="shared" si="5"/>
        <v>154.53</v>
      </c>
    </row>
    <row r="280" spans="2:12" x14ac:dyDescent="0.25">
      <c r="B280" s="27">
        <v>45156</v>
      </c>
      <c r="C280" s="28" t="s">
        <v>41</v>
      </c>
      <c r="D280" s="28">
        <v>2023</v>
      </c>
      <c r="E280" s="28" t="s">
        <v>15</v>
      </c>
      <c r="F280" s="28">
        <v>5</v>
      </c>
      <c r="G280" s="28" t="s">
        <v>111</v>
      </c>
      <c r="H280" s="28" t="s">
        <v>16</v>
      </c>
      <c r="I280" s="28" t="s">
        <v>16</v>
      </c>
      <c r="J280" s="28" t="s">
        <v>16</v>
      </c>
      <c r="K280" s="28" t="s">
        <v>79</v>
      </c>
      <c r="L280" s="29">
        <f t="shared" si="5"/>
        <v>45.45</v>
      </c>
    </row>
    <row r="281" spans="2:12" x14ac:dyDescent="0.25">
      <c r="B281" s="27">
        <v>45156</v>
      </c>
      <c r="C281" s="28" t="s">
        <v>41</v>
      </c>
      <c r="D281" s="28">
        <v>2023</v>
      </c>
      <c r="E281" s="28" t="s">
        <v>14</v>
      </c>
      <c r="F281" s="28">
        <v>10</v>
      </c>
      <c r="G281" s="28" t="s">
        <v>93</v>
      </c>
      <c r="H281" s="28" t="s">
        <v>16</v>
      </c>
      <c r="I281" s="28" t="s">
        <v>16</v>
      </c>
      <c r="J281" s="28" t="s">
        <v>16</v>
      </c>
      <c r="K281" s="28" t="s">
        <v>78</v>
      </c>
      <c r="L281" s="29">
        <f t="shared" si="5"/>
        <v>90.9</v>
      </c>
    </row>
    <row r="282" spans="2:12" x14ac:dyDescent="0.25">
      <c r="B282" s="27">
        <v>45156</v>
      </c>
      <c r="C282" s="28" t="s">
        <v>41</v>
      </c>
      <c r="D282" s="28">
        <v>2023</v>
      </c>
      <c r="E282" s="28" t="s">
        <v>14</v>
      </c>
      <c r="F282" s="28">
        <v>26</v>
      </c>
      <c r="G282" s="28" t="s">
        <v>93</v>
      </c>
      <c r="H282" s="28" t="s">
        <v>16</v>
      </c>
      <c r="I282" s="28" t="s">
        <v>16</v>
      </c>
      <c r="J282" s="28" t="s">
        <v>16</v>
      </c>
      <c r="K282" s="28" t="s">
        <v>76</v>
      </c>
      <c r="L282" s="29">
        <f t="shared" si="5"/>
        <v>236.34</v>
      </c>
    </row>
    <row r="283" spans="2:12" x14ac:dyDescent="0.25">
      <c r="B283" s="27">
        <v>45157</v>
      </c>
      <c r="C283" s="28" t="s">
        <v>41</v>
      </c>
      <c r="D283" s="28">
        <v>2023</v>
      </c>
      <c r="E283" s="28" t="s">
        <v>14</v>
      </c>
      <c r="F283" s="28">
        <v>26</v>
      </c>
      <c r="G283" s="28" t="s">
        <v>93</v>
      </c>
      <c r="H283" s="28" t="s">
        <v>16</v>
      </c>
      <c r="I283" s="28" t="s">
        <v>16</v>
      </c>
      <c r="J283" s="28" t="s">
        <v>16</v>
      </c>
      <c r="K283" s="28" t="s">
        <v>83</v>
      </c>
      <c r="L283" s="29">
        <f t="shared" si="5"/>
        <v>236.34</v>
      </c>
    </row>
    <row r="284" spans="2:12" x14ac:dyDescent="0.25">
      <c r="B284" s="27">
        <v>45159</v>
      </c>
      <c r="C284" s="28" t="s">
        <v>41</v>
      </c>
      <c r="D284" s="28">
        <v>2023</v>
      </c>
      <c r="E284" s="28" t="s">
        <v>14</v>
      </c>
      <c r="F284" s="28">
        <v>14</v>
      </c>
      <c r="G284" s="28" t="s">
        <v>108</v>
      </c>
      <c r="H284" s="28" t="s">
        <v>16</v>
      </c>
      <c r="I284" s="28" t="s">
        <v>16</v>
      </c>
      <c r="J284" s="28" t="s">
        <v>16</v>
      </c>
      <c r="K284" s="28" t="s">
        <v>75</v>
      </c>
      <c r="L284" s="29">
        <f t="shared" si="5"/>
        <v>127.25999999999999</v>
      </c>
    </row>
    <row r="285" spans="2:12" x14ac:dyDescent="0.25">
      <c r="B285" s="27">
        <v>45160</v>
      </c>
      <c r="C285" s="28" t="s">
        <v>41</v>
      </c>
      <c r="D285" s="28">
        <v>2023</v>
      </c>
      <c r="E285" s="28" t="s">
        <v>15</v>
      </c>
      <c r="F285" s="28">
        <v>2</v>
      </c>
      <c r="G285" s="28" t="s">
        <v>93</v>
      </c>
      <c r="H285" s="28" t="s">
        <v>16</v>
      </c>
      <c r="I285" s="28" t="s">
        <v>16</v>
      </c>
      <c r="J285" s="28" t="s">
        <v>16</v>
      </c>
      <c r="K285" s="28" t="s">
        <v>75</v>
      </c>
      <c r="L285" s="29">
        <f t="shared" si="5"/>
        <v>18.18</v>
      </c>
    </row>
    <row r="286" spans="2:12" x14ac:dyDescent="0.25">
      <c r="B286" s="27">
        <v>45160</v>
      </c>
      <c r="C286" s="28" t="s">
        <v>41</v>
      </c>
      <c r="D286" s="28">
        <v>2023</v>
      </c>
      <c r="E286" s="28" t="s">
        <v>14</v>
      </c>
      <c r="F286" s="28">
        <v>5</v>
      </c>
      <c r="G286" s="28" t="s">
        <v>111</v>
      </c>
      <c r="H286" s="28" t="s">
        <v>16</v>
      </c>
      <c r="I286" s="28" t="s">
        <v>16</v>
      </c>
      <c r="J286" s="28" t="s">
        <v>16</v>
      </c>
      <c r="K286" s="28" t="s">
        <v>75</v>
      </c>
      <c r="L286" s="29">
        <f t="shared" si="5"/>
        <v>45.45</v>
      </c>
    </row>
    <row r="287" spans="2:12" x14ac:dyDescent="0.25">
      <c r="B287" s="27">
        <v>45163</v>
      </c>
      <c r="C287" s="28" t="s">
        <v>41</v>
      </c>
      <c r="D287" s="28">
        <v>2023</v>
      </c>
      <c r="E287" s="28" t="s">
        <v>15</v>
      </c>
      <c r="F287" s="28">
        <v>1</v>
      </c>
      <c r="G287" s="28" t="s">
        <v>108</v>
      </c>
      <c r="H287" s="28" t="s">
        <v>16</v>
      </c>
      <c r="I287" s="28" t="s">
        <v>16</v>
      </c>
      <c r="J287" s="28" t="s">
        <v>16</v>
      </c>
      <c r="K287" s="28" t="s">
        <v>79</v>
      </c>
      <c r="L287" s="29">
        <f t="shared" si="5"/>
        <v>9.09</v>
      </c>
    </row>
    <row r="288" spans="2:12" x14ac:dyDescent="0.25">
      <c r="B288" s="27">
        <v>45163</v>
      </c>
      <c r="C288" s="28" t="s">
        <v>41</v>
      </c>
      <c r="D288" s="28">
        <v>2023</v>
      </c>
      <c r="E288" s="28" t="s">
        <v>15</v>
      </c>
      <c r="F288" s="28">
        <v>2</v>
      </c>
      <c r="G288" s="28" t="s">
        <v>108</v>
      </c>
      <c r="H288" s="28" t="s">
        <v>16</v>
      </c>
      <c r="I288" s="28" t="s">
        <v>16</v>
      </c>
      <c r="J288" s="28" t="s">
        <v>16</v>
      </c>
      <c r="K288" s="28" t="s">
        <v>79</v>
      </c>
      <c r="L288" s="29">
        <f t="shared" si="5"/>
        <v>18.18</v>
      </c>
    </row>
    <row r="289" spans="2:12" x14ac:dyDescent="0.25">
      <c r="B289" s="27">
        <v>45163</v>
      </c>
      <c r="C289" s="28" t="s">
        <v>41</v>
      </c>
      <c r="D289" s="28">
        <v>2023</v>
      </c>
      <c r="E289" s="28" t="s">
        <v>14</v>
      </c>
      <c r="F289" s="28">
        <v>5</v>
      </c>
      <c r="G289" s="28" t="s">
        <v>108</v>
      </c>
      <c r="H289" s="28" t="s">
        <v>16</v>
      </c>
      <c r="I289" s="28" t="s">
        <v>16</v>
      </c>
      <c r="J289" s="28" t="s">
        <v>16</v>
      </c>
      <c r="K289" s="28" t="s">
        <v>78</v>
      </c>
      <c r="L289" s="29">
        <f t="shared" si="5"/>
        <v>45.45</v>
      </c>
    </row>
    <row r="290" spans="2:12" x14ac:dyDescent="0.25">
      <c r="B290" s="27">
        <v>45164</v>
      </c>
      <c r="C290" s="28" t="s">
        <v>41</v>
      </c>
      <c r="D290" s="28">
        <v>2023</v>
      </c>
      <c r="E290" s="28" t="s">
        <v>14</v>
      </c>
      <c r="F290" s="28">
        <v>5</v>
      </c>
      <c r="G290" s="28" t="s">
        <v>111</v>
      </c>
      <c r="H290" s="28" t="s">
        <v>16</v>
      </c>
      <c r="I290" s="28" t="s">
        <v>16</v>
      </c>
      <c r="J290" s="28" t="s">
        <v>16</v>
      </c>
      <c r="K290" s="28" t="s">
        <v>79</v>
      </c>
      <c r="L290" s="29">
        <f t="shared" si="5"/>
        <v>45.45</v>
      </c>
    </row>
    <row r="291" spans="2:12" x14ac:dyDescent="0.25">
      <c r="B291" s="27">
        <v>45164</v>
      </c>
      <c r="C291" s="28" t="s">
        <v>41</v>
      </c>
      <c r="D291" s="28">
        <v>2023</v>
      </c>
      <c r="E291" s="28" t="s">
        <v>15</v>
      </c>
      <c r="F291" s="28">
        <v>26</v>
      </c>
      <c r="G291" s="28" t="s">
        <v>93</v>
      </c>
      <c r="H291" s="28" t="s">
        <v>16</v>
      </c>
      <c r="I291" s="28" t="s">
        <v>16</v>
      </c>
      <c r="J291" s="28" t="s">
        <v>16</v>
      </c>
      <c r="K291" s="28" t="s">
        <v>76</v>
      </c>
      <c r="L291" s="29">
        <f t="shared" si="5"/>
        <v>236.34</v>
      </c>
    </row>
    <row r="292" spans="2:12" x14ac:dyDescent="0.25">
      <c r="B292" s="27">
        <v>45164</v>
      </c>
      <c r="C292" s="28" t="s">
        <v>41</v>
      </c>
      <c r="D292" s="28">
        <v>2023</v>
      </c>
      <c r="E292" s="28" t="s">
        <v>15</v>
      </c>
      <c r="F292" s="28">
        <v>2</v>
      </c>
      <c r="G292" s="28" t="s">
        <v>111</v>
      </c>
      <c r="H292" s="28" t="s">
        <v>16</v>
      </c>
      <c r="I292" s="28" t="s">
        <v>16</v>
      </c>
      <c r="J292" s="28" t="s">
        <v>16</v>
      </c>
      <c r="K292" s="28" t="s">
        <v>79</v>
      </c>
      <c r="L292" s="29">
        <f t="shared" si="5"/>
        <v>18.18</v>
      </c>
    </row>
    <row r="293" spans="2:12" x14ac:dyDescent="0.25">
      <c r="B293" s="27">
        <v>45165</v>
      </c>
      <c r="C293" s="28" t="s">
        <v>41</v>
      </c>
      <c r="D293" s="28">
        <v>2023</v>
      </c>
      <c r="E293" s="28" t="s">
        <v>15</v>
      </c>
      <c r="F293" s="28">
        <v>2</v>
      </c>
      <c r="G293" s="28" t="s">
        <v>111</v>
      </c>
      <c r="H293" s="28" t="s">
        <v>16</v>
      </c>
      <c r="I293" s="28" t="s">
        <v>16</v>
      </c>
      <c r="J293" s="28" t="s">
        <v>16</v>
      </c>
      <c r="K293" s="28" t="s">
        <v>79</v>
      </c>
      <c r="L293" s="29">
        <f t="shared" si="5"/>
        <v>18.18</v>
      </c>
    </row>
    <row r="294" spans="2:12" x14ac:dyDescent="0.25">
      <c r="B294" s="27">
        <v>45165</v>
      </c>
      <c r="C294" s="28" t="s">
        <v>41</v>
      </c>
      <c r="D294" s="28">
        <v>2023</v>
      </c>
      <c r="E294" s="28" t="s">
        <v>14</v>
      </c>
      <c r="F294" s="28">
        <v>18</v>
      </c>
      <c r="G294" s="28" t="s">
        <v>111</v>
      </c>
      <c r="H294" s="28" t="s">
        <v>16</v>
      </c>
      <c r="I294" s="28" t="s">
        <v>16</v>
      </c>
      <c r="J294" s="28" t="s">
        <v>16</v>
      </c>
      <c r="K294" s="28" t="s">
        <v>79</v>
      </c>
      <c r="L294" s="29">
        <f t="shared" si="5"/>
        <v>163.62</v>
      </c>
    </row>
    <row r="295" spans="2:12" x14ac:dyDescent="0.25">
      <c r="B295" s="27">
        <v>45166</v>
      </c>
      <c r="C295" s="28" t="s">
        <v>41</v>
      </c>
      <c r="D295" s="28">
        <v>2023</v>
      </c>
      <c r="E295" s="28" t="s">
        <v>15</v>
      </c>
      <c r="F295" s="28">
        <v>2</v>
      </c>
      <c r="G295" s="28" t="s">
        <v>94</v>
      </c>
      <c r="H295" s="28" t="s">
        <v>16</v>
      </c>
      <c r="I295" s="28" t="s">
        <v>16</v>
      </c>
      <c r="J295" s="28" t="s">
        <v>16</v>
      </c>
      <c r="K295" s="28" t="s">
        <v>79</v>
      </c>
      <c r="L295" s="29">
        <f t="shared" si="5"/>
        <v>18.18</v>
      </c>
    </row>
    <row r="296" spans="2:12" x14ac:dyDescent="0.25">
      <c r="B296" s="27">
        <v>45166</v>
      </c>
      <c r="C296" s="28" t="s">
        <v>41</v>
      </c>
      <c r="D296" s="28">
        <v>2023</v>
      </c>
      <c r="E296" s="28" t="s">
        <v>14</v>
      </c>
      <c r="F296" s="28">
        <v>2</v>
      </c>
      <c r="G296" s="28" t="s">
        <v>111</v>
      </c>
      <c r="H296" s="28" t="s">
        <v>16</v>
      </c>
      <c r="I296" s="28" t="s">
        <v>16</v>
      </c>
      <c r="J296" s="28" t="s">
        <v>16</v>
      </c>
      <c r="K296" s="28" t="s">
        <v>83</v>
      </c>
      <c r="L296" s="29">
        <f t="shared" si="5"/>
        <v>18.18</v>
      </c>
    </row>
    <row r="297" spans="2:12" x14ac:dyDescent="0.25">
      <c r="B297" s="27">
        <v>45166</v>
      </c>
      <c r="C297" s="28" t="s">
        <v>41</v>
      </c>
      <c r="D297" s="28">
        <v>2023</v>
      </c>
      <c r="E297" s="28" t="s">
        <v>14</v>
      </c>
      <c r="F297" s="28">
        <v>7</v>
      </c>
      <c r="G297" s="28" t="s">
        <v>93</v>
      </c>
      <c r="H297" s="28" t="s">
        <v>16</v>
      </c>
      <c r="I297" s="28" t="s">
        <v>16</v>
      </c>
      <c r="J297" s="28" t="s">
        <v>16</v>
      </c>
      <c r="K297" s="28" t="s">
        <v>76</v>
      </c>
      <c r="L297" s="29">
        <f t="shared" si="5"/>
        <v>63.629999999999995</v>
      </c>
    </row>
    <row r="298" spans="2:12" x14ac:dyDescent="0.25">
      <c r="B298" s="27">
        <v>45166</v>
      </c>
      <c r="C298" s="28" t="s">
        <v>41</v>
      </c>
      <c r="D298" s="28">
        <v>2023</v>
      </c>
      <c r="E298" s="28" t="s">
        <v>14</v>
      </c>
      <c r="F298" s="28">
        <v>26</v>
      </c>
      <c r="G298" s="28" t="s">
        <v>93</v>
      </c>
      <c r="H298" s="28" t="s">
        <v>16</v>
      </c>
      <c r="I298" s="28" t="s">
        <v>16</v>
      </c>
      <c r="J298" s="28" t="s">
        <v>16</v>
      </c>
      <c r="K298" s="28" t="s">
        <v>76</v>
      </c>
      <c r="L298" s="29">
        <f t="shared" si="5"/>
        <v>236.34</v>
      </c>
    </row>
    <row r="299" spans="2:12" x14ac:dyDescent="0.25">
      <c r="B299" s="27">
        <v>45166</v>
      </c>
      <c r="C299" s="28" t="s">
        <v>41</v>
      </c>
      <c r="D299" s="28">
        <v>2023</v>
      </c>
      <c r="E299" s="28" t="s">
        <v>15</v>
      </c>
      <c r="F299" s="28">
        <v>2</v>
      </c>
      <c r="G299" s="28" t="s">
        <v>85</v>
      </c>
      <c r="H299" s="28" t="s">
        <v>16</v>
      </c>
      <c r="I299" s="28" t="s">
        <v>16</v>
      </c>
      <c r="J299" s="28" t="s">
        <v>16</v>
      </c>
      <c r="K299" s="28" t="s">
        <v>76</v>
      </c>
      <c r="L299" s="29">
        <f t="shared" si="5"/>
        <v>18.18</v>
      </c>
    </row>
    <row r="300" spans="2:12" x14ac:dyDescent="0.25">
      <c r="B300" s="27">
        <v>45167</v>
      </c>
      <c r="C300" s="28" t="s">
        <v>41</v>
      </c>
      <c r="D300" s="28">
        <v>2023</v>
      </c>
      <c r="E300" s="28" t="s">
        <v>15</v>
      </c>
      <c r="F300" s="28">
        <v>5</v>
      </c>
      <c r="G300" s="28" t="s">
        <v>111</v>
      </c>
      <c r="H300" s="28" t="s">
        <v>16</v>
      </c>
      <c r="I300" s="28" t="s">
        <v>16</v>
      </c>
      <c r="J300" s="28" t="s">
        <v>16</v>
      </c>
      <c r="K300" s="28" t="s">
        <v>79</v>
      </c>
      <c r="L300" s="29">
        <f t="shared" si="5"/>
        <v>45.45</v>
      </c>
    </row>
    <row r="301" spans="2:12" x14ac:dyDescent="0.25">
      <c r="B301" s="27">
        <v>45167</v>
      </c>
      <c r="C301" s="28" t="s">
        <v>41</v>
      </c>
      <c r="D301" s="28">
        <v>2023</v>
      </c>
      <c r="E301" s="28" t="s">
        <v>15</v>
      </c>
      <c r="F301" s="28">
        <v>2</v>
      </c>
      <c r="G301" s="28" t="s">
        <v>85</v>
      </c>
      <c r="H301" s="28" t="s">
        <v>16</v>
      </c>
      <c r="I301" s="28" t="s">
        <v>16</v>
      </c>
      <c r="J301" s="28" t="s">
        <v>16</v>
      </c>
      <c r="K301" s="28" t="s">
        <v>78</v>
      </c>
      <c r="L301" s="29">
        <f t="shared" si="5"/>
        <v>18.18</v>
      </c>
    </row>
    <row r="302" spans="2:12" x14ac:dyDescent="0.25">
      <c r="B302" s="27">
        <v>45168</v>
      </c>
      <c r="C302" s="28" t="s">
        <v>41</v>
      </c>
      <c r="D302" s="28">
        <v>2023</v>
      </c>
      <c r="E302" s="28" t="s">
        <v>15</v>
      </c>
      <c r="F302" s="28">
        <v>2</v>
      </c>
      <c r="G302" s="28" t="s">
        <v>111</v>
      </c>
      <c r="H302" s="28" t="s">
        <v>16</v>
      </c>
      <c r="I302" s="28" t="s">
        <v>16</v>
      </c>
      <c r="J302" s="28" t="s">
        <v>16</v>
      </c>
      <c r="K302" s="28" t="s">
        <v>78</v>
      </c>
      <c r="L302" s="29">
        <f t="shared" si="5"/>
        <v>18.18</v>
      </c>
    </row>
    <row r="303" spans="2:12" x14ac:dyDescent="0.25">
      <c r="B303" s="27">
        <v>45168</v>
      </c>
      <c r="C303" s="28" t="s">
        <v>41</v>
      </c>
      <c r="D303" s="28">
        <v>2023</v>
      </c>
      <c r="E303" s="28" t="s">
        <v>14</v>
      </c>
      <c r="F303" s="28">
        <v>1</v>
      </c>
      <c r="G303" s="28" t="s">
        <v>111</v>
      </c>
      <c r="H303" s="28" t="s">
        <v>16</v>
      </c>
      <c r="I303" s="28" t="s">
        <v>16</v>
      </c>
      <c r="J303" s="28" t="s">
        <v>16</v>
      </c>
      <c r="K303" s="28" t="s">
        <v>78</v>
      </c>
      <c r="L303" s="29">
        <f t="shared" si="5"/>
        <v>9.09</v>
      </c>
    </row>
    <row r="304" spans="2:12" x14ac:dyDescent="0.25">
      <c r="B304" s="27">
        <v>45170</v>
      </c>
      <c r="C304" s="28" t="s">
        <v>42</v>
      </c>
      <c r="D304" s="28">
        <v>2023</v>
      </c>
      <c r="E304" s="28" t="s">
        <v>15</v>
      </c>
      <c r="F304" s="28">
        <v>5</v>
      </c>
      <c r="G304" s="28" t="s">
        <v>111</v>
      </c>
      <c r="H304" s="28" t="s">
        <v>16</v>
      </c>
      <c r="I304" s="28" t="s">
        <v>16</v>
      </c>
      <c r="J304" s="28" t="s">
        <v>16</v>
      </c>
      <c r="K304" s="28" t="s">
        <v>79</v>
      </c>
      <c r="L304" s="29">
        <f t="shared" si="5"/>
        <v>45.45</v>
      </c>
    </row>
    <row r="305" spans="2:12" x14ac:dyDescent="0.25">
      <c r="B305" s="27">
        <v>45172</v>
      </c>
      <c r="C305" s="28" t="s">
        <v>42</v>
      </c>
      <c r="D305" s="28">
        <v>2023</v>
      </c>
      <c r="E305" s="28" t="s">
        <v>15</v>
      </c>
      <c r="F305" s="28">
        <v>4</v>
      </c>
      <c r="G305" s="28" t="s">
        <v>97</v>
      </c>
      <c r="H305" s="28" t="s">
        <v>16</v>
      </c>
      <c r="I305" s="28" t="s">
        <v>16</v>
      </c>
      <c r="J305" s="28" t="s">
        <v>16</v>
      </c>
      <c r="K305" s="28" t="s">
        <v>79</v>
      </c>
      <c r="L305" s="29">
        <f t="shared" si="5"/>
        <v>36.36</v>
      </c>
    </row>
    <row r="306" spans="2:12" x14ac:dyDescent="0.25">
      <c r="B306" s="27">
        <v>45173</v>
      </c>
      <c r="C306" s="28" t="s">
        <v>42</v>
      </c>
      <c r="D306" s="28">
        <v>2023</v>
      </c>
      <c r="E306" s="28" t="s">
        <v>15</v>
      </c>
      <c r="F306" s="28">
        <v>2</v>
      </c>
      <c r="G306" s="28" t="s">
        <v>111</v>
      </c>
      <c r="H306" s="28" t="s">
        <v>16</v>
      </c>
      <c r="I306" s="28" t="s">
        <v>16</v>
      </c>
      <c r="J306" s="28" t="s">
        <v>16</v>
      </c>
      <c r="K306" s="28" t="s">
        <v>79</v>
      </c>
      <c r="L306" s="29">
        <f t="shared" si="5"/>
        <v>18.18</v>
      </c>
    </row>
    <row r="307" spans="2:12" x14ac:dyDescent="0.25">
      <c r="B307" s="27">
        <v>45174</v>
      </c>
      <c r="C307" s="28" t="s">
        <v>42</v>
      </c>
      <c r="D307" s="28">
        <v>2023</v>
      </c>
      <c r="E307" s="28" t="s">
        <v>14</v>
      </c>
      <c r="F307" s="28">
        <v>26</v>
      </c>
      <c r="G307" s="28" t="s">
        <v>93</v>
      </c>
      <c r="H307" s="28" t="s">
        <v>16</v>
      </c>
      <c r="I307" s="28" t="s">
        <v>16</v>
      </c>
      <c r="J307" s="28" t="s">
        <v>16</v>
      </c>
      <c r="K307" s="28" t="s">
        <v>76</v>
      </c>
      <c r="L307" s="29">
        <f t="shared" si="5"/>
        <v>236.34</v>
      </c>
    </row>
    <row r="308" spans="2:12" x14ac:dyDescent="0.25">
      <c r="B308" s="27">
        <v>45174</v>
      </c>
      <c r="C308" s="28" t="s">
        <v>42</v>
      </c>
      <c r="D308" s="28">
        <v>2023</v>
      </c>
      <c r="E308" s="28" t="s">
        <v>15</v>
      </c>
      <c r="F308" s="28">
        <v>3</v>
      </c>
      <c r="G308" s="28" t="s">
        <v>94</v>
      </c>
      <c r="H308" s="28" t="s">
        <v>16</v>
      </c>
      <c r="I308" s="28" t="s">
        <v>16</v>
      </c>
      <c r="J308" s="28" t="s">
        <v>16</v>
      </c>
      <c r="K308" s="28" t="s">
        <v>75</v>
      </c>
      <c r="L308" s="29">
        <f t="shared" si="5"/>
        <v>27.27</v>
      </c>
    </row>
    <row r="309" spans="2:12" x14ac:dyDescent="0.25">
      <c r="B309" s="27">
        <v>45174</v>
      </c>
      <c r="C309" s="28" t="s">
        <v>42</v>
      </c>
      <c r="D309" s="28">
        <v>2023</v>
      </c>
      <c r="E309" s="28" t="s">
        <v>14</v>
      </c>
      <c r="F309" s="28">
        <v>26</v>
      </c>
      <c r="G309" s="28" t="s">
        <v>93</v>
      </c>
      <c r="H309" s="28" t="s">
        <v>16</v>
      </c>
      <c r="I309" s="28" t="s">
        <v>16</v>
      </c>
      <c r="J309" s="28" t="s">
        <v>16</v>
      </c>
      <c r="K309" s="28" t="s">
        <v>83</v>
      </c>
      <c r="L309" s="29">
        <f t="shared" si="5"/>
        <v>236.34</v>
      </c>
    </row>
    <row r="310" spans="2:12" x14ac:dyDescent="0.25">
      <c r="B310" s="27">
        <v>45174</v>
      </c>
      <c r="C310" s="28" t="s">
        <v>42</v>
      </c>
      <c r="D310" s="28">
        <v>2023</v>
      </c>
      <c r="E310" s="28" t="s">
        <v>14</v>
      </c>
      <c r="F310" s="28">
        <v>4</v>
      </c>
      <c r="G310" s="28" t="s">
        <v>93</v>
      </c>
      <c r="H310" s="28" t="s">
        <v>16</v>
      </c>
      <c r="I310" s="28" t="s">
        <v>16</v>
      </c>
      <c r="J310" s="28" t="s">
        <v>16</v>
      </c>
      <c r="K310" s="28" t="s">
        <v>79</v>
      </c>
      <c r="L310" s="29">
        <f t="shared" si="5"/>
        <v>36.36</v>
      </c>
    </row>
    <row r="311" spans="2:12" x14ac:dyDescent="0.25">
      <c r="B311" s="27">
        <v>45174</v>
      </c>
      <c r="C311" s="28" t="s">
        <v>42</v>
      </c>
      <c r="D311" s="28">
        <v>2023</v>
      </c>
      <c r="E311" s="28" t="s">
        <v>15</v>
      </c>
      <c r="F311" s="28">
        <v>2</v>
      </c>
      <c r="G311" s="28" t="s">
        <v>108</v>
      </c>
      <c r="H311" s="28" t="s">
        <v>16</v>
      </c>
      <c r="I311" s="28" t="s">
        <v>16</v>
      </c>
      <c r="J311" s="28" t="s">
        <v>16</v>
      </c>
      <c r="K311" s="28" t="s">
        <v>83</v>
      </c>
      <c r="L311" s="29">
        <f t="shared" ref="L311:L374" si="6">F311*9.09</f>
        <v>18.18</v>
      </c>
    </row>
    <row r="312" spans="2:12" x14ac:dyDescent="0.25">
      <c r="B312" s="27">
        <v>45178</v>
      </c>
      <c r="C312" s="28" t="s">
        <v>42</v>
      </c>
      <c r="D312" s="28">
        <v>2023</v>
      </c>
      <c r="E312" s="28" t="s">
        <v>14</v>
      </c>
      <c r="F312" s="28">
        <v>1</v>
      </c>
      <c r="G312" s="28" t="s">
        <v>94</v>
      </c>
      <c r="H312" s="28" t="s">
        <v>16</v>
      </c>
      <c r="I312" s="28" t="s">
        <v>16</v>
      </c>
      <c r="J312" s="28" t="s">
        <v>16</v>
      </c>
      <c r="K312" s="28" t="s">
        <v>75</v>
      </c>
      <c r="L312" s="29">
        <f t="shared" si="6"/>
        <v>9.09</v>
      </c>
    </row>
    <row r="313" spans="2:12" x14ac:dyDescent="0.25">
      <c r="B313" s="27">
        <v>45179</v>
      </c>
      <c r="C313" s="28" t="s">
        <v>42</v>
      </c>
      <c r="D313" s="28">
        <v>2023</v>
      </c>
      <c r="E313" s="28" t="s">
        <v>14</v>
      </c>
      <c r="F313" s="28">
        <v>3</v>
      </c>
      <c r="G313" s="28" t="s">
        <v>111</v>
      </c>
      <c r="H313" s="28" t="s">
        <v>16</v>
      </c>
      <c r="I313" s="28" t="s">
        <v>16</v>
      </c>
      <c r="J313" s="28" t="s">
        <v>16</v>
      </c>
      <c r="K313" s="28" t="s">
        <v>78</v>
      </c>
      <c r="L313" s="29">
        <f t="shared" si="6"/>
        <v>27.27</v>
      </c>
    </row>
    <row r="314" spans="2:12" x14ac:dyDescent="0.25">
      <c r="B314" s="27">
        <v>45180</v>
      </c>
      <c r="C314" s="28" t="s">
        <v>42</v>
      </c>
      <c r="D314" s="28">
        <v>2023</v>
      </c>
      <c r="E314" s="28" t="s">
        <v>14</v>
      </c>
      <c r="F314" s="28">
        <v>10</v>
      </c>
      <c r="G314" s="28" t="s">
        <v>108</v>
      </c>
      <c r="H314" s="28" t="s">
        <v>16</v>
      </c>
      <c r="I314" s="28" t="s">
        <v>16</v>
      </c>
      <c r="J314" s="28" t="s">
        <v>16</v>
      </c>
      <c r="K314" s="28" t="s">
        <v>79</v>
      </c>
      <c r="L314" s="29">
        <f t="shared" si="6"/>
        <v>90.9</v>
      </c>
    </row>
    <row r="315" spans="2:12" x14ac:dyDescent="0.25">
      <c r="B315" s="27">
        <v>45180</v>
      </c>
      <c r="C315" s="28" t="s">
        <v>42</v>
      </c>
      <c r="D315" s="28">
        <v>2023</v>
      </c>
      <c r="E315" s="28" t="s">
        <v>14</v>
      </c>
      <c r="F315" s="28">
        <v>26</v>
      </c>
      <c r="G315" s="28" t="s">
        <v>93</v>
      </c>
      <c r="H315" s="28" t="s">
        <v>16</v>
      </c>
      <c r="I315" s="28" t="s">
        <v>16</v>
      </c>
      <c r="J315" s="28" t="s">
        <v>16</v>
      </c>
      <c r="K315" s="28" t="s">
        <v>78</v>
      </c>
      <c r="L315" s="29">
        <f t="shared" si="6"/>
        <v>236.34</v>
      </c>
    </row>
    <row r="316" spans="2:12" x14ac:dyDescent="0.25">
      <c r="B316" s="27">
        <v>45181</v>
      </c>
      <c r="C316" s="28" t="s">
        <v>42</v>
      </c>
      <c r="D316" s="28">
        <v>2023</v>
      </c>
      <c r="E316" s="28" t="s">
        <v>15</v>
      </c>
      <c r="F316" s="28">
        <v>4</v>
      </c>
      <c r="G316" s="28" t="s">
        <v>111</v>
      </c>
      <c r="H316" s="28" t="s">
        <v>16</v>
      </c>
      <c r="I316" s="28" t="s">
        <v>16</v>
      </c>
      <c r="J316" s="28" t="s">
        <v>16</v>
      </c>
      <c r="K316" s="28" t="s">
        <v>75</v>
      </c>
      <c r="L316" s="29">
        <f t="shared" si="6"/>
        <v>36.36</v>
      </c>
    </row>
    <row r="317" spans="2:12" x14ac:dyDescent="0.25">
      <c r="B317" s="27">
        <v>45182</v>
      </c>
      <c r="C317" s="28" t="s">
        <v>42</v>
      </c>
      <c r="D317" s="28">
        <v>2023</v>
      </c>
      <c r="E317" s="28" t="s">
        <v>15</v>
      </c>
      <c r="F317" s="28">
        <v>6</v>
      </c>
      <c r="G317" s="28" t="s">
        <v>85</v>
      </c>
      <c r="H317" s="28" t="s">
        <v>16</v>
      </c>
      <c r="I317" s="28" t="s">
        <v>16</v>
      </c>
      <c r="J317" s="28" t="s">
        <v>16</v>
      </c>
      <c r="K317" s="28" t="s">
        <v>76</v>
      </c>
      <c r="L317" s="29">
        <f t="shared" si="6"/>
        <v>54.54</v>
      </c>
    </row>
    <row r="318" spans="2:12" x14ac:dyDescent="0.25">
      <c r="B318" s="27">
        <v>45183</v>
      </c>
      <c r="C318" s="28" t="s">
        <v>42</v>
      </c>
      <c r="D318" s="28">
        <v>2023</v>
      </c>
      <c r="E318" s="28" t="s">
        <v>14</v>
      </c>
      <c r="F318" s="28">
        <v>8</v>
      </c>
      <c r="G318" s="28" t="s">
        <v>108</v>
      </c>
      <c r="H318" s="28" t="s">
        <v>16</v>
      </c>
      <c r="I318" s="28" t="s">
        <v>16</v>
      </c>
      <c r="J318" s="28" t="s">
        <v>16</v>
      </c>
      <c r="K318" s="28" t="s">
        <v>76</v>
      </c>
      <c r="L318" s="29">
        <f t="shared" si="6"/>
        <v>72.72</v>
      </c>
    </row>
    <row r="319" spans="2:12" x14ac:dyDescent="0.25">
      <c r="B319" s="27">
        <v>45183</v>
      </c>
      <c r="C319" s="28" t="s">
        <v>42</v>
      </c>
      <c r="D319" s="28">
        <v>2023</v>
      </c>
      <c r="E319" s="28" t="s">
        <v>15</v>
      </c>
      <c r="F319" s="28">
        <v>5</v>
      </c>
      <c r="G319" s="28" t="s">
        <v>111</v>
      </c>
      <c r="H319" s="28" t="s">
        <v>16</v>
      </c>
      <c r="I319" s="28" t="s">
        <v>16</v>
      </c>
      <c r="J319" s="28" t="s">
        <v>16</v>
      </c>
      <c r="K319" s="28" t="s">
        <v>76</v>
      </c>
      <c r="L319" s="29">
        <f t="shared" si="6"/>
        <v>45.45</v>
      </c>
    </row>
    <row r="320" spans="2:12" x14ac:dyDescent="0.25">
      <c r="B320" s="27">
        <v>45186</v>
      </c>
      <c r="C320" s="28" t="s">
        <v>42</v>
      </c>
      <c r="D320" s="28">
        <v>2023</v>
      </c>
      <c r="E320" s="28" t="s">
        <v>14</v>
      </c>
      <c r="F320" s="28">
        <v>21</v>
      </c>
      <c r="G320" s="28" t="s">
        <v>93</v>
      </c>
      <c r="H320" s="28" t="s">
        <v>16</v>
      </c>
      <c r="I320" s="28" t="s">
        <v>16</v>
      </c>
      <c r="J320" s="28" t="s">
        <v>16</v>
      </c>
      <c r="K320" s="28" t="s">
        <v>73</v>
      </c>
      <c r="L320" s="29">
        <f t="shared" si="6"/>
        <v>190.89</v>
      </c>
    </row>
    <row r="321" spans="2:12" x14ac:dyDescent="0.25">
      <c r="B321" s="27">
        <v>45186</v>
      </c>
      <c r="C321" s="28" t="s">
        <v>42</v>
      </c>
      <c r="D321" s="28">
        <v>2023</v>
      </c>
      <c r="E321" s="28" t="s">
        <v>15</v>
      </c>
      <c r="F321" s="28">
        <v>1</v>
      </c>
      <c r="G321" s="28" t="s">
        <v>94</v>
      </c>
      <c r="H321" s="28" t="s">
        <v>16</v>
      </c>
      <c r="I321" s="28" t="s">
        <v>16</v>
      </c>
      <c r="J321" s="28" t="s">
        <v>16</v>
      </c>
      <c r="K321" s="28" t="s">
        <v>73</v>
      </c>
      <c r="L321" s="29">
        <f t="shared" si="6"/>
        <v>9.09</v>
      </c>
    </row>
    <row r="322" spans="2:12" x14ac:dyDescent="0.25">
      <c r="B322" s="27">
        <v>45190</v>
      </c>
      <c r="C322" s="28" t="s">
        <v>42</v>
      </c>
      <c r="D322" s="28">
        <v>2023</v>
      </c>
      <c r="E322" s="28" t="s">
        <v>14</v>
      </c>
      <c r="F322" s="28">
        <v>26</v>
      </c>
      <c r="G322" s="28" t="s">
        <v>98</v>
      </c>
      <c r="H322" s="28" t="s">
        <v>16</v>
      </c>
      <c r="I322" s="28" t="s">
        <v>16</v>
      </c>
      <c r="J322" s="28" t="s">
        <v>16</v>
      </c>
      <c r="K322" s="28" t="s">
        <v>75</v>
      </c>
      <c r="L322" s="29">
        <f t="shared" si="6"/>
        <v>236.34</v>
      </c>
    </row>
    <row r="323" spans="2:12" x14ac:dyDescent="0.25">
      <c r="B323" s="27">
        <v>45192</v>
      </c>
      <c r="C323" s="28" t="s">
        <v>42</v>
      </c>
      <c r="D323" s="28">
        <v>2023</v>
      </c>
      <c r="E323" s="28" t="s">
        <v>15</v>
      </c>
      <c r="F323" s="28">
        <v>2</v>
      </c>
      <c r="G323" s="28" t="s">
        <v>93</v>
      </c>
      <c r="H323" s="28" t="s">
        <v>16</v>
      </c>
      <c r="I323" s="28" t="s">
        <v>16</v>
      </c>
      <c r="J323" s="28" t="s">
        <v>16</v>
      </c>
      <c r="K323" s="28" t="s">
        <v>75</v>
      </c>
      <c r="L323" s="29">
        <f t="shared" si="6"/>
        <v>18.18</v>
      </c>
    </row>
    <row r="324" spans="2:12" x14ac:dyDescent="0.25">
      <c r="B324" s="27">
        <v>45193</v>
      </c>
      <c r="C324" s="28" t="s">
        <v>42</v>
      </c>
      <c r="D324" s="28">
        <v>2023</v>
      </c>
      <c r="E324" s="28" t="s">
        <v>14</v>
      </c>
      <c r="F324" s="28">
        <v>26</v>
      </c>
      <c r="G324" s="28" t="s">
        <v>93</v>
      </c>
      <c r="H324" s="28" t="s">
        <v>16</v>
      </c>
      <c r="I324" s="28" t="s">
        <v>16</v>
      </c>
      <c r="J324" s="28" t="s">
        <v>16</v>
      </c>
      <c r="K324" s="28" t="s">
        <v>75</v>
      </c>
      <c r="L324" s="29">
        <f t="shared" si="6"/>
        <v>236.34</v>
      </c>
    </row>
    <row r="325" spans="2:12" x14ac:dyDescent="0.25">
      <c r="B325" s="27">
        <v>45194</v>
      </c>
      <c r="C325" s="28" t="s">
        <v>42</v>
      </c>
      <c r="D325" s="28">
        <v>2023</v>
      </c>
      <c r="E325" s="28" t="s">
        <v>14</v>
      </c>
      <c r="F325" s="28">
        <v>26</v>
      </c>
      <c r="G325" s="28" t="s">
        <v>93</v>
      </c>
      <c r="H325" s="28" t="s">
        <v>16</v>
      </c>
      <c r="I325" s="28" t="s">
        <v>16</v>
      </c>
      <c r="J325" s="28" t="s">
        <v>16</v>
      </c>
      <c r="K325" s="28" t="s">
        <v>73</v>
      </c>
      <c r="L325" s="29">
        <f t="shared" si="6"/>
        <v>236.34</v>
      </c>
    </row>
    <row r="326" spans="2:12" x14ac:dyDescent="0.25">
      <c r="B326" s="27">
        <v>45196</v>
      </c>
      <c r="C326" s="28" t="s">
        <v>42</v>
      </c>
      <c r="D326" s="28">
        <v>2023</v>
      </c>
      <c r="E326" s="28" t="s">
        <v>14</v>
      </c>
      <c r="F326" s="28">
        <v>24</v>
      </c>
      <c r="G326" s="28" t="s">
        <v>108</v>
      </c>
      <c r="H326" s="28" t="s">
        <v>16</v>
      </c>
      <c r="I326" s="28" t="s">
        <v>16</v>
      </c>
      <c r="J326" s="28" t="s">
        <v>16</v>
      </c>
      <c r="K326" s="28" t="s">
        <v>75</v>
      </c>
      <c r="L326" s="29">
        <f t="shared" si="6"/>
        <v>218.16</v>
      </c>
    </row>
    <row r="327" spans="2:12" x14ac:dyDescent="0.25">
      <c r="B327" s="27">
        <v>45199</v>
      </c>
      <c r="C327" s="28" t="s">
        <v>42</v>
      </c>
      <c r="D327" s="28">
        <v>2023</v>
      </c>
      <c r="E327" s="28" t="s">
        <v>14</v>
      </c>
      <c r="F327" s="28">
        <v>2</v>
      </c>
      <c r="G327" s="28" t="s">
        <v>94</v>
      </c>
      <c r="H327" s="28" t="s">
        <v>16</v>
      </c>
      <c r="I327" s="28" t="s">
        <v>16</v>
      </c>
      <c r="J327" s="28" t="s">
        <v>16</v>
      </c>
      <c r="K327" s="28" t="s">
        <v>73</v>
      </c>
      <c r="L327" s="29">
        <f t="shared" si="6"/>
        <v>18.18</v>
      </c>
    </row>
    <row r="328" spans="2:12" x14ac:dyDescent="0.25">
      <c r="B328" s="27">
        <v>45200</v>
      </c>
      <c r="C328" s="28" t="s">
        <v>43</v>
      </c>
      <c r="D328" s="28">
        <v>2023</v>
      </c>
      <c r="E328" s="28" t="s">
        <v>14</v>
      </c>
      <c r="F328" s="28">
        <v>26</v>
      </c>
      <c r="G328" s="28" t="s">
        <v>111</v>
      </c>
      <c r="H328" s="28" t="s">
        <v>16</v>
      </c>
      <c r="I328" s="28" t="s">
        <v>16</v>
      </c>
      <c r="J328" s="28" t="s">
        <v>16</v>
      </c>
      <c r="K328" s="28" t="s">
        <v>75</v>
      </c>
      <c r="L328" s="29">
        <f t="shared" si="6"/>
        <v>236.34</v>
      </c>
    </row>
    <row r="329" spans="2:12" x14ac:dyDescent="0.25">
      <c r="B329" s="27">
        <v>45200</v>
      </c>
      <c r="C329" s="28" t="s">
        <v>43</v>
      </c>
      <c r="D329" s="28">
        <v>2023</v>
      </c>
      <c r="E329" s="28" t="s">
        <v>14</v>
      </c>
      <c r="F329" s="28">
        <v>26</v>
      </c>
      <c r="G329" s="28" t="s">
        <v>93</v>
      </c>
      <c r="H329" s="28" t="s">
        <v>16</v>
      </c>
      <c r="I329" s="28" t="s">
        <v>16</v>
      </c>
      <c r="J329" s="28" t="s">
        <v>16</v>
      </c>
      <c r="K329" s="28" t="s">
        <v>83</v>
      </c>
      <c r="L329" s="29">
        <f t="shared" si="6"/>
        <v>236.34</v>
      </c>
    </row>
    <row r="330" spans="2:12" x14ac:dyDescent="0.25">
      <c r="B330" s="27">
        <v>45201</v>
      </c>
      <c r="C330" s="28" t="s">
        <v>43</v>
      </c>
      <c r="D330" s="28">
        <v>2023</v>
      </c>
      <c r="E330" s="28" t="s">
        <v>14</v>
      </c>
      <c r="F330" s="28">
        <v>26</v>
      </c>
      <c r="G330" s="28" t="s">
        <v>93</v>
      </c>
      <c r="H330" s="28" t="s">
        <v>16</v>
      </c>
      <c r="I330" s="28" t="s">
        <v>16</v>
      </c>
      <c r="J330" s="28" t="s">
        <v>16</v>
      </c>
      <c r="K330" s="28" t="s">
        <v>76</v>
      </c>
      <c r="L330" s="29">
        <f t="shared" si="6"/>
        <v>236.34</v>
      </c>
    </row>
    <row r="331" spans="2:12" x14ac:dyDescent="0.25">
      <c r="B331" s="27">
        <v>45201</v>
      </c>
      <c r="C331" s="28" t="s">
        <v>43</v>
      </c>
      <c r="D331" s="28">
        <v>2023</v>
      </c>
      <c r="E331" s="28" t="s">
        <v>15</v>
      </c>
      <c r="F331" s="28">
        <v>2</v>
      </c>
      <c r="G331" s="28" t="s">
        <v>99</v>
      </c>
      <c r="H331" s="28" t="s">
        <v>16</v>
      </c>
      <c r="I331" s="28" t="s">
        <v>16</v>
      </c>
      <c r="J331" s="28" t="s">
        <v>16</v>
      </c>
      <c r="K331" s="28" t="s">
        <v>75</v>
      </c>
      <c r="L331" s="29">
        <f t="shared" si="6"/>
        <v>18.18</v>
      </c>
    </row>
    <row r="332" spans="2:12" x14ac:dyDescent="0.25">
      <c r="B332" s="27">
        <v>45202</v>
      </c>
      <c r="C332" s="28" t="s">
        <v>43</v>
      </c>
      <c r="D332" s="28">
        <v>2023</v>
      </c>
      <c r="E332" s="28" t="s">
        <v>15</v>
      </c>
      <c r="F332" s="28">
        <v>9</v>
      </c>
      <c r="G332" s="28" t="s">
        <v>99</v>
      </c>
      <c r="H332" s="28" t="s">
        <v>16</v>
      </c>
      <c r="I332" s="28" t="s">
        <v>16</v>
      </c>
      <c r="J332" s="28" t="s">
        <v>16</v>
      </c>
      <c r="K332" s="28" t="s">
        <v>76</v>
      </c>
      <c r="L332" s="29">
        <f t="shared" si="6"/>
        <v>81.81</v>
      </c>
    </row>
    <row r="333" spans="2:12" x14ac:dyDescent="0.25">
      <c r="B333" s="27">
        <v>45202</v>
      </c>
      <c r="C333" s="28" t="s">
        <v>43</v>
      </c>
      <c r="D333" s="28">
        <v>2023</v>
      </c>
      <c r="E333" s="28" t="s">
        <v>15</v>
      </c>
      <c r="F333" s="28">
        <v>3</v>
      </c>
      <c r="G333" s="28" t="s">
        <v>111</v>
      </c>
      <c r="H333" s="28" t="s">
        <v>16</v>
      </c>
      <c r="I333" s="28" t="s">
        <v>16</v>
      </c>
      <c r="J333" s="28" t="s">
        <v>16</v>
      </c>
      <c r="K333" s="28" t="s">
        <v>76</v>
      </c>
      <c r="L333" s="29">
        <f t="shared" si="6"/>
        <v>27.27</v>
      </c>
    </row>
    <row r="334" spans="2:12" x14ac:dyDescent="0.25">
      <c r="B334" s="27">
        <v>45204</v>
      </c>
      <c r="C334" s="28" t="s">
        <v>43</v>
      </c>
      <c r="D334" s="28">
        <v>2023</v>
      </c>
      <c r="E334" s="28" t="s">
        <v>14</v>
      </c>
      <c r="F334" s="28">
        <v>5</v>
      </c>
      <c r="G334" s="28" t="s">
        <v>93</v>
      </c>
      <c r="H334" s="28" t="s">
        <v>16</v>
      </c>
      <c r="I334" s="28" t="s">
        <v>16</v>
      </c>
      <c r="J334" s="28" t="s">
        <v>16</v>
      </c>
      <c r="K334" s="28" t="s">
        <v>73</v>
      </c>
      <c r="L334" s="29">
        <f t="shared" si="6"/>
        <v>45.45</v>
      </c>
    </row>
    <row r="335" spans="2:12" x14ac:dyDescent="0.25">
      <c r="B335" s="27">
        <v>45205</v>
      </c>
      <c r="C335" s="28" t="s">
        <v>43</v>
      </c>
      <c r="D335" s="28">
        <v>2023</v>
      </c>
      <c r="E335" s="28" t="s">
        <v>15</v>
      </c>
      <c r="F335" s="28">
        <v>6</v>
      </c>
      <c r="G335" s="28" t="s">
        <v>111</v>
      </c>
      <c r="H335" s="28" t="s">
        <v>16</v>
      </c>
      <c r="I335" s="28" t="s">
        <v>16</v>
      </c>
      <c r="J335" s="28" t="s">
        <v>16</v>
      </c>
      <c r="K335" s="28" t="s">
        <v>75</v>
      </c>
      <c r="L335" s="29">
        <f t="shared" si="6"/>
        <v>54.54</v>
      </c>
    </row>
    <row r="336" spans="2:12" x14ac:dyDescent="0.25">
      <c r="B336" s="27">
        <v>45206</v>
      </c>
      <c r="C336" s="28" t="s">
        <v>43</v>
      </c>
      <c r="D336" s="28">
        <v>2023</v>
      </c>
      <c r="E336" s="28" t="s">
        <v>15</v>
      </c>
      <c r="F336" s="28">
        <v>6</v>
      </c>
      <c r="G336" s="28" t="s">
        <v>93</v>
      </c>
      <c r="H336" s="28" t="s">
        <v>16</v>
      </c>
      <c r="I336" s="28" t="s">
        <v>16</v>
      </c>
      <c r="J336" s="28" t="s">
        <v>16</v>
      </c>
      <c r="K336" s="28" t="s">
        <v>76</v>
      </c>
      <c r="L336" s="29">
        <f t="shared" si="6"/>
        <v>54.54</v>
      </c>
    </row>
    <row r="337" spans="2:12" x14ac:dyDescent="0.25">
      <c r="B337" s="27">
        <v>45206</v>
      </c>
      <c r="C337" s="28" t="s">
        <v>43</v>
      </c>
      <c r="D337" s="28">
        <v>2023</v>
      </c>
      <c r="E337" s="28" t="s">
        <v>14</v>
      </c>
      <c r="F337" s="28">
        <v>6</v>
      </c>
      <c r="G337" s="28" t="s">
        <v>93</v>
      </c>
      <c r="H337" s="28" t="s">
        <v>16</v>
      </c>
      <c r="I337" s="28" t="s">
        <v>16</v>
      </c>
      <c r="J337" s="28" t="s">
        <v>16</v>
      </c>
      <c r="K337" s="28" t="s">
        <v>79</v>
      </c>
      <c r="L337" s="29">
        <f t="shared" si="6"/>
        <v>54.54</v>
      </c>
    </row>
    <row r="338" spans="2:12" x14ac:dyDescent="0.25">
      <c r="B338" s="27">
        <v>45207</v>
      </c>
      <c r="C338" s="28" t="s">
        <v>43</v>
      </c>
      <c r="D338" s="28">
        <v>2023</v>
      </c>
      <c r="E338" s="28" t="s">
        <v>14</v>
      </c>
      <c r="F338" s="28">
        <v>3</v>
      </c>
      <c r="G338" s="28" t="s">
        <v>111</v>
      </c>
      <c r="H338" s="28" t="s">
        <v>16</v>
      </c>
      <c r="I338" s="28" t="s">
        <v>16</v>
      </c>
      <c r="J338" s="28" t="s">
        <v>16</v>
      </c>
      <c r="K338" s="28" t="s">
        <v>73</v>
      </c>
      <c r="L338" s="29">
        <f t="shared" si="6"/>
        <v>27.27</v>
      </c>
    </row>
    <row r="339" spans="2:12" x14ac:dyDescent="0.25">
      <c r="B339" s="27">
        <v>45207</v>
      </c>
      <c r="C339" s="28" t="s">
        <v>43</v>
      </c>
      <c r="D339" s="28">
        <v>2023</v>
      </c>
      <c r="E339" s="28" t="s">
        <v>14</v>
      </c>
      <c r="F339" s="28">
        <v>26</v>
      </c>
      <c r="G339" s="28" t="s">
        <v>93</v>
      </c>
      <c r="H339" s="28" t="s">
        <v>16</v>
      </c>
      <c r="I339" s="28" t="s">
        <v>16</v>
      </c>
      <c r="J339" s="28" t="s">
        <v>16</v>
      </c>
      <c r="K339" s="28" t="s">
        <v>73</v>
      </c>
      <c r="L339" s="29">
        <f t="shared" si="6"/>
        <v>236.34</v>
      </c>
    </row>
    <row r="340" spans="2:12" x14ac:dyDescent="0.25">
      <c r="B340" s="27">
        <v>45208</v>
      </c>
      <c r="C340" s="28" t="s">
        <v>43</v>
      </c>
      <c r="D340" s="28">
        <v>2023</v>
      </c>
      <c r="E340" s="28" t="s">
        <v>14</v>
      </c>
      <c r="F340" s="28">
        <v>26</v>
      </c>
      <c r="G340" s="28" t="s">
        <v>93</v>
      </c>
      <c r="H340" s="28" t="s">
        <v>16</v>
      </c>
      <c r="I340" s="28" t="s">
        <v>16</v>
      </c>
      <c r="J340" s="28" t="s">
        <v>16</v>
      </c>
      <c r="K340" s="28" t="s">
        <v>79</v>
      </c>
      <c r="L340" s="29">
        <f t="shared" si="6"/>
        <v>236.34</v>
      </c>
    </row>
    <row r="341" spans="2:12" x14ac:dyDescent="0.25">
      <c r="B341" s="27">
        <v>45208</v>
      </c>
      <c r="C341" s="28" t="s">
        <v>43</v>
      </c>
      <c r="D341" s="28">
        <v>2023</v>
      </c>
      <c r="E341" s="28" t="s">
        <v>15</v>
      </c>
      <c r="F341" s="28">
        <v>3</v>
      </c>
      <c r="G341" s="28" t="s">
        <v>97</v>
      </c>
      <c r="H341" s="28" t="s">
        <v>16</v>
      </c>
      <c r="I341" s="28" t="s">
        <v>16</v>
      </c>
      <c r="J341" s="28" t="s">
        <v>16</v>
      </c>
      <c r="K341" s="28" t="s">
        <v>78</v>
      </c>
      <c r="L341" s="29">
        <f t="shared" si="6"/>
        <v>27.27</v>
      </c>
    </row>
    <row r="342" spans="2:12" x14ac:dyDescent="0.25">
      <c r="B342" s="27">
        <v>45208</v>
      </c>
      <c r="C342" s="28" t="s">
        <v>43</v>
      </c>
      <c r="D342" s="28">
        <v>2023</v>
      </c>
      <c r="E342" s="28" t="s">
        <v>14</v>
      </c>
      <c r="F342" s="28">
        <v>23</v>
      </c>
      <c r="G342" s="28" t="s">
        <v>93</v>
      </c>
      <c r="H342" s="28" t="s">
        <v>16</v>
      </c>
      <c r="I342" s="28" t="s">
        <v>16</v>
      </c>
      <c r="J342" s="28" t="s">
        <v>16</v>
      </c>
      <c r="K342" s="28" t="s">
        <v>75</v>
      </c>
      <c r="L342" s="29">
        <f t="shared" si="6"/>
        <v>209.07</v>
      </c>
    </row>
    <row r="343" spans="2:12" x14ac:dyDescent="0.25">
      <c r="B343" s="27">
        <v>45209</v>
      </c>
      <c r="C343" s="28" t="s">
        <v>43</v>
      </c>
      <c r="D343" s="28">
        <v>2023</v>
      </c>
      <c r="E343" s="28" t="s">
        <v>14</v>
      </c>
      <c r="F343" s="28">
        <v>24</v>
      </c>
      <c r="G343" s="28" t="s">
        <v>108</v>
      </c>
      <c r="H343" s="28" t="s">
        <v>16</v>
      </c>
      <c r="I343" s="28" t="s">
        <v>16</v>
      </c>
      <c r="J343" s="28" t="s">
        <v>16</v>
      </c>
      <c r="K343" s="28" t="s">
        <v>79</v>
      </c>
      <c r="L343" s="29">
        <f t="shared" si="6"/>
        <v>218.16</v>
      </c>
    </row>
    <row r="344" spans="2:12" x14ac:dyDescent="0.25">
      <c r="B344" s="27">
        <v>45209</v>
      </c>
      <c r="C344" s="28" t="s">
        <v>43</v>
      </c>
      <c r="D344" s="28">
        <v>2023</v>
      </c>
      <c r="E344" s="28" t="s">
        <v>14</v>
      </c>
      <c r="F344" s="28">
        <v>10</v>
      </c>
      <c r="G344" s="28" t="s">
        <v>111</v>
      </c>
      <c r="H344" s="28" t="s">
        <v>16</v>
      </c>
      <c r="I344" s="28" t="s">
        <v>16</v>
      </c>
      <c r="J344" s="28" t="s">
        <v>16</v>
      </c>
      <c r="K344" s="28" t="s">
        <v>73</v>
      </c>
      <c r="L344" s="29">
        <f t="shared" si="6"/>
        <v>90.9</v>
      </c>
    </row>
    <row r="345" spans="2:12" x14ac:dyDescent="0.25">
      <c r="B345" s="27">
        <v>45210</v>
      </c>
      <c r="C345" s="28" t="s">
        <v>43</v>
      </c>
      <c r="D345" s="28">
        <v>2023</v>
      </c>
      <c r="E345" s="28" t="s">
        <v>15</v>
      </c>
      <c r="F345" s="28">
        <v>1</v>
      </c>
      <c r="G345" s="28" t="s">
        <v>97</v>
      </c>
      <c r="H345" s="28" t="s">
        <v>16</v>
      </c>
      <c r="I345" s="28" t="s">
        <v>16</v>
      </c>
      <c r="J345" s="28" t="s">
        <v>16</v>
      </c>
      <c r="K345" s="28" t="s">
        <v>78</v>
      </c>
      <c r="L345" s="29">
        <f t="shared" si="6"/>
        <v>9.09</v>
      </c>
    </row>
    <row r="346" spans="2:12" x14ac:dyDescent="0.25">
      <c r="B346" s="27">
        <v>45212</v>
      </c>
      <c r="C346" s="28" t="s">
        <v>43</v>
      </c>
      <c r="D346" s="28">
        <v>2023</v>
      </c>
      <c r="E346" s="28" t="s">
        <v>14</v>
      </c>
      <c r="F346" s="28">
        <v>3</v>
      </c>
      <c r="G346" s="28" t="s">
        <v>97</v>
      </c>
      <c r="H346" s="28" t="s">
        <v>16</v>
      </c>
      <c r="I346" s="28" t="s">
        <v>16</v>
      </c>
      <c r="J346" s="28" t="s">
        <v>16</v>
      </c>
      <c r="K346" s="28" t="s">
        <v>76</v>
      </c>
      <c r="L346" s="29">
        <f t="shared" si="6"/>
        <v>27.27</v>
      </c>
    </row>
    <row r="347" spans="2:12" x14ac:dyDescent="0.25">
      <c r="B347" s="27">
        <v>45214</v>
      </c>
      <c r="C347" s="28" t="s">
        <v>43</v>
      </c>
      <c r="D347" s="28">
        <v>2023</v>
      </c>
      <c r="E347" s="28" t="s">
        <v>14</v>
      </c>
      <c r="F347" s="28">
        <v>17</v>
      </c>
      <c r="G347" s="28" t="s">
        <v>93</v>
      </c>
      <c r="H347" s="28" t="s">
        <v>16</v>
      </c>
      <c r="I347" s="28" t="s">
        <v>16</v>
      </c>
      <c r="J347" s="28" t="s">
        <v>16</v>
      </c>
      <c r="K347" s="28" t="s">
        <v>79</v>
      </c>
      <c r="L347" s="29">
        <f t="shared" si="6"/>
        <v>154.53</v>
      </c>
    </row>
    <row r="348" spans="2:12" x14ac:dyDescent="0.25">
      <c r="B348" s="27">
        <v>45215</v>
      </c>
      <c r="C348" s="28" t="s">
        <v>43</v>
      </c>
      <c r="D348" s="28">
        <v>2023</v>
      </c>
      <c r="E348" s="28" t="s">
        <v>14</v>
      </c>
      <c r="F348" s="28">
        <v>26</v>
      </c>
      <c r="G348" s="28" t="s">
        <v>93</v>
      </c>
      <c r="H348" s="28" t="s">
        <v>16</v>
      </c>
      <c r="I348" s="28" t="s">
        <v>16</v>
      </c>
      <c r="J348" s="28" t="s">
        <v>16</v>
      </c>
      <c r="K348" s="28" t="s">
        <v>78</v>
      </c>
      <c r="L348" s="29">
        <f t="shared" si="6"/>
        <v>236.34</v>
      </c>
    </row>
    <row r="349" spans="2:12" x14ac:dyDescent="0.25">
      <c r="B349" s="27">
        <v>45216</v>
      </c>
      <c r="C349" s="28" t="s">
        <v>43</v>
      </c>
      <c r="D349" s="28">
        <v>2023</v>
      </c>
      <c r="E349" s="28" t="s">
        <v>15</v>
      </c>
      <c r="F349" s="28">
        <v>3</v>
      </c>
      <c r="G349" s="28" t="s">
        <v>85</v>
      </c>
      <c r="H349" s="28" t="s">
        <v>16</v>
      </c>
      <c r="I349" s="28" t="s">
        <v>16</v>
      </c>
      <c r="J349" s="28" t="s">
        <v>16</v>
      </c>
      <c r="K349" s="28" t="s">
        <v>75</v>
      </c>
      <c r="L349" s="29">
        <f t="shared" si="6"/>
        <v>27.27</v>
      </c>
    </row>
    <row r="350" spans="2:12" x14ac:dyDescent="0.25">
      <c r="B350" s="27">
        <v>45217</v>
      </c>
      <c r="C350" s="28" t="s">
        <v>43</v>
      </c>
      <c r="D350" s="28">
        <v>2023</v>
      </c>
      <c r="E350" s="28" t="s">
        <v>15</v>
      </c>
      <c r="F350" s="28">
        <v>7</v>
      </c>
      <c r="G350" s="28" t="s">
        <v>111</v>
      </c>
      <c r="H350" s="28" t="s">
        <v>16</v>
      </c>
      <c r="I350" s="28" t="s">
        <v>16</v>
      </c>
      <c r="J350" s="28" t="s">
        <v>16</v>
      </c>
      <c r="K350" s="28" t="s">
        <v>73</v>
      </c>
      <c r="L350" s="29">
        <f t="shared" si="6"/>
        <v>63.629999999999995</v>
      </c>
    </row>
    <row r="351" spans="2:12" x14ac:dyDescent="0.25">
      <c r="B351" s="27">
        <v>45218</v>
      </c>
      <c r="C351" s="28" t="s">
        <v>43</v>
      </c>
      <c r="D351" s="28">
        <v>2023</v>
      </c>
      <c r="E351" s="28" t="s">
        <v>15</v>
      </c>
      <c r="F351" s="28">
        <v>3</v>
      </c>
      <c r="G351" s="28" t="s">
        <v>111</v>
      </c>
      <c r="H351" s="28" t="s">
        <v>16</v>
      </c>
      <c r="I351" s="28" t="s">
        <v>16</v>
      </c>
      <c r="J351" s="28" t="s">
        <v>16</v>
      </c>
      <c r="K351" s="28" t="s">
        <v>76</v>
      </c>
      <c r="L351" s="29">
        <f t="shared" si="6"/>
        <v>27.27</v>
      </c>
    </row>
    <row r="352" spans="2:12" x14ac:dyDescent="0.25">
      <c r="B352" s="27">
        <v>45221</v>
      </c>
      <c r="C352" s="28" t="s">
        <v>43</v>
      </c>
      <c r="D352" s="28">
        <v>2023</v>
      </c>
      <c r="E352" s="28" t="s">
        <v>14</v>
      </c>
      <c r="F352" s="28">
        <v>2</v>
      </c>
      <c r="G352" s="28" t="s">
        <v>93</v>
      </c>
      <c r="H352" s="28" t="s">
        <v>16</v>
      </c>
      <c r="I352" s="28" t="s">
        <v>16</v>
      </c>
      <c r="J352" s="28" t="s">
        <v>16</v>
      </c>
      <c r="K352" s="28" t="s">
        <v>75</v>
      </c>
      <c r="L352" s="29">
        <f t="shared" si="6"/>
        <v>18.18</v>
      </c>
    </row>
    <row r="353" spans="2:12" x14ac:dyDescent="0.25">
      <c r="B353" s="27">
        <v>45222</v>
      </c>
      <c r="C353" s="28" t="s">
        <v>43</v>
      </c>
      <c r="D353" s="28">
        <v>2023</v>
      </c>
      <c r="E353" s="28" t="s">
        <v>14</v>
      </c>
      <c r="F353" s="28">
        <v>26</v>
      </c>
      <c r="G353" s="28" t="s">
        <v>93</v>
      </c>
      <c r="H353" s="28" t="s">
        <v>16</v>
      </c>
      <c r="I353" s="28" t="s">
        <v>16</v>
      </c>
      <c r="J353" s="28" t="s">
        <v>16</v>
      </c>
      <c r="K353" s="28" t="s">
        <v>75</v>
      </c>
      <c r="L353" s="29">
        <f t="shared" si="6"/>
        <v>236.34</v>
      </c>
    </row>
    <row r="354" spans="2:12" x14ac:dyDescent="0.25">
      <c r="B354" s="27">
        <v>45222</v>
      </c>
      <c r="C354" s="28" t="s">
        <v>43</v>
      </c>
      <c r="D354" s="28">
        <v>2023</v>
      </c>
      <c r="E354" s="28" t="s">
        <v>14</v>
      </c>
      <c r="F354" s="28">
        <v>26</v>
      </c>
      <c r="G354" s="28" t="s">
        <v>93</v>
      </c>
      <c r="H354" s="28" t="s">
        <v>16</v>
      </c>
      <c r="I354" s="28" t="s">
        <v>16</v>
      </c>
      <c r="J354" s="28" t="s">
        <v>16</v>
      </c>
      <c r="K354" s="28" t="s">
        <v>73</v>
      </c>
      <c r="L354" s="29">
        <f t="shared" si="6"/>
        <v>236.34</v>
      </c>
    </row>
    <row r="355" spans="2:12" x14ac:dyDescent="0.25">
      <c r="B355" s="27">
        <v>45224</v>
      </c>
      <c r="C355" s="28" t="s">
        <v>43</v>
      </c>
      <c r="D355" s="28">
        <v>2023</v>
      </c>
      <c r="E355" s="28" t="s">
        <v>15</v>
      </c>
      <c r="F355" s="28">
        <v>2</v>
      </c>
      <c r="G355" s="28" t="s">
        <v>111</v>
      </c>
      <c r="H355" s="28" t="s">
        <v>16</v>
      </c>
      <c r="I355" s="28" t="s">
        <v>16</v>
      </c>
      <c r="J355" s="28" t="s">
        <v>16</v>
      </c>
      <c r="K355" s="28" t="s">
        <v>76</v>
      </c>
      <c r="L355" s="29">
        <f t="shared" si="6"/>
        <v>18.18</v>
      </c>
    </row>
    <row r="356" spans="2:12" x14ac:dyDescent="0.25">
      <c r="B356" s="27">
        <v>45231</v>
      </c>
      <c r="C356" s="28" t="s">
        <v>44</v>
      </c>
      <c r="D356" s="28">
        <v>2023</v>
      </c>
      <c r="E356" s="28" t="s">
        <v>14</v>
      </c>
      <c r="F356" s="28">
        <v>2</v>
      </c>
      <c r="G356" s="28" t="s">
        <v>94</v>
      </c>
      <c r="H356" s="28" t="s">
        <v>16</v>
      </c>
      <c r="I356" s="28" t="s">
        <v>16</v>
      </c>
      <c r="J356" s="28" t="s">
        <v>16</v>
      </c>
      <c r="K356" s="28" t="s">
        <v>79</v>
      </c>
      <c r="L356" s="29">
        <f t="shared" si="6"/>
        <v>18.18</v>
      </c>
    </row>
    <row r="357" spans="2:12" x14ac:dyDescent="0.25">
      <c r="B357" s="27">
        <v>45231</v>
      </c>
      <c r="C357" s="28" t="s">
        <v>44</v>
      </c>
      <c r="D357" s="28">
        <v>2023</v>
      </c>
      <c r="E357" s="28" t="s">
        <v>15</v>
      </c>
      <c r="F357" s="28">
        <v>1</v>
      </c>
      <c r="G357" s="28" t="s">
        <v>111</v>
      </c>
      <c r="H357" s="28" t="s">
        <v>16</v>
      </c>
      <c r="I357" s="28" t="s">
        <v>16</v>
      </c>
      <c r="J357" s="28" t="s">
        <v>16</v>
      </c>
      <c r="K357" s="28" t="s">
        <v>78</v>
      </c>
      <c r="L357" s="29">
        <f t="shared" si="6"/>
        <v>9.09</v>
      </c>
    </row>
    <row r="358" spans="2:12" x14ac:dyDescent="0.25">
      <c r="B358" s="27">
        <v>45232</v>
      </c>
      <c r="C358" s="28" t="s">
        <v>44</v>
      </c>
      <c r="D358" s="28">
        <v>2023</v>
      </c>
      <c r="E358" s="28" t="s">
        <v>14</v>
      </c>
      <c r="F358" s="28">
        <v>26</v>
      </c>
      <c r="G358" s="28" t="s">
        <v>93</v>
      </c>
      <c r="H358" s="28" t="s">
        <v>16</v>
      </c>
      <c r="I358" s="28" t="s">
        <v>16</v>
      </c>
      <c r="J358" s="28" t="s">
        <v>16</v>
      </c>
      <c r="K358" s="28" t="s">
        <v>79</v>
      </c>
      <c r="L358" s="29">
        <f t="shared" si="6"/>
        <v>236.34</v>
      </c>
    </row>
    <row r="359" spans="2:12" x14ac:dyDescent="0.25">
      <c r="B359" s="27">
        <v>45232</v>
      </c>
      <c r="C359" s="28" t="s">
        <v>44</v>
      </c>
      <c r="D359" s="28">
        <v>2023</v>
      </c>
      <c r="E359" s="28" t="s">
        <v>15</v>
      </c>
      <c r="F359" s="28">
        <v>2</v>
      </c>
      <c r="G359" s="28" t="s">
        <v>111</v>
      </c>
      <c r="H359" s="28" t="s">
        <v>16</v>
      </c>
      <c r="I359" s="28" t="s">
        <v>16</v>
      </c>
      <c r="J359" s="28" t="s">
        <v>16</v>
      </c>
      <c r="K359" s="28" t="s">
        <v>73</v>
      </c>
      <c r="L359" s="29">
        <f t="shared" si="6"/>
        <v>18.18</v>
      </c>
    </row>
    <row r="360" spans="2:12" x14ac:dyDescent="0.25">
      <c r="B360" s="27">
        <v>45234</v>
      </c>
      <c r="C360" s="28" t="s">
        <v>44</v>
      </c>
      <c r="D360" s="28">
        <v>2023</v>
      </c>
      <c r="E360" s="28" t="s">
        <v>15</v>
      </c>
      <c r="F360" s="28">
        <v>4</v>
      </c>
      <c r="G360" s="28" t="s">
        <v>108</v>
      </c>
      <c r="H360" s="28" t="s">
        <v>16</v>
      </c>
      <c r="I360" s="28" t="s">
        <v>16</v>
      </c>
      <c r="J360" s="28" t="s">
        <v>16</v>
      </c>
      <c r="K360" s="28" t="s">
        <v>75</v>
      </c>
      <c r="L360" s="29">
        <f t="shared" si="6"/>
        <v>36.36</v>
      </c>
    </row>
    <row r="361" spans="2:12" x14ac:dyDescent="0.25">
      <c r="B361" s="27">
        <v>45235</v>
      </c>
      <c r="C361" s="28" t="s">
        <v>44</v>
      </c>
      <c r="D361" s="28">
        <v>2023</v>
      </c>
      <c r="E361" s="28" t="s">
        <v>14</v>
      </c>
      <c r="F361" s="28">
        <v>4</v>
      </c>
      <c r="G361" s="28" t="s">
        <v>93</v>
      </c>
      <c r="H361" s="28" t="s">
        <v>16</v>
      </c>
      <c r="I361" s="28" t="s">
        <v>16</v>
      </c>
      <c r="J361" s="28" t="s">
        <v>16</v>
      </c>
      <c r="K361" s="28" t="s">
        <v>75</v>
      </c>
      <c r="L361" s="29">
        <f t="shared" si="6"/>
        <v>36.36</v>
      </c>
    </row>
    <row r="362" spans="2:12" x14ac:dyDescent="0.25">
      <c r="B362" s="27">
        <v>45236</v>
      </c>
      <c r="C362" s="28" t="s">
        <v>44</v>
      </c>
      <c r="D362" s="28">
        <v>2023</v>
      </c>
      <c r="E362" s="28" t="s">
        <v>14</v>
      </c>
      <c r="F362" s="28">
        <v>4</v>
      </c>
      <c r="G362" s="28" t="s">
        <v>111</v>
      </c>
      <c r="H362" s="28" t="s">
        <v>16</v>
      </c>
      <c r="I362" s="28" t="s">
        <v>16</v>
      </c>
      <c r="J362" s="28" t="s">
        <v>16</v>
      </c>
      <c r="K362" s="28" t="s">
        <v>73</v>
      </c>
      <c r="L362" s="29">
        <f t="shared" si="6"/>
        <v>36.36</v>
      </c>
    </row>
    <row r="363" spans="2:12" x14ac:dyDescent="0.25">
      <c r="B363" s="27">
        <v>45236</v>
      </c>
      <c r="C363" s="28" t="s">
        <v>44</v>
      </c>
      <c r="D363" s="28">
        <v>2023</v>
      </c>
      <c r="E363" s="28" t="s">
        <v>14</v>
      </c>
      <c r="F363" s="28">
        <v>6</v>
      </c>
      <c r="G363" s="28" t="s">
        <v>94</v>
      </c>
      <c r="H363" s="28" t="s">
        <v>16</v>
      </c>
      <c r="I363" s="28" t="s">
        <v>16</v>
      </c>
      <c r="J363" s="28" t="s">
        <v>16</v>
      </c>
      <c r="K363" s="28" t="s">
        <v>78</v>
      </c>
      <c r="L363" s="29">
        <f t="shared" si="6"/>
        <v>54.54</v>
      </c>
    </row>
    <row r="364" spans="2:12" x14ac:dyDescent="0.25">
      <c r="B364" s="27">
        <v>45236</v>
      </c>
      <c r="C364" s="28" t="s">
        <v>44</v>
      </c>
      <c r="D364" s="28">
        <v>2023</v>
      </c>
      <c r="E364" s="28" t="s">
        <v>14</v>
      </c>
      <c r="F364" s="28">
        <v>24</v>
      </c>
      <c r="G364" s="28" t="s">
        <v>94</v>
      </c>
      <c r="H364" s="28" t="s">
        <v>16</v>
      </c>
      <c r="I364" s="28" t="s">
        <v>16</v>
      </c>
      <c r="J364" s="28" t="s">
        <v>16</v>
      </c>
      <c r="K364" s="28" t="s">
        <v>75</v>
      </c>
      <c r="L364" s="29">
        <f t="shared" si="6"/>
        <v>218.16</v>
      </c>
    </row>
    <row r="365" spans="2:12" x14ac:dyDescent="0.25">
      <c r="B365" s="27">
        <v>45238</v>
      </c>
      <c r="C365" s="28" t="s">
        <v>44</v>
      </c>
      <c r="D365" s="28">
        <v>2023</v>
      </c>
      <c r="E365" s="28" t="s">
        <v>15</v>
      </c>
      <c r="F365" s="28">
        <v>3</v>
      </c>
      <c r="G365" s="28" t="s">
        <v>85</v>
      </c>
      <c r="H365" s="28" t="s">
        <v>16</v>
      </c>
      <c r="I365" s="28" t="s">
        <v>16</v>
      </c>
      <c r="J365" s="28" t="s">
        <v>16</v>
      </c>
      <c r="K365" s="28" t="s">
        <v>83</v>
      </c>
      <c r="L365" s="29">
        <f t="shared" si="6"/>
        <v>27.27</v>
      </c>
    </row>
    <row r="366" spans="2:12" x14ac:dyDescent="0.25">
      <c r="B366" s="27">
        <v>45240</v>
      </c>
      <c r="C366" s="28" t="s">
        <v>44</v>
      </c>
      <c r="D366" s="28">
        <v>2023</v>
      </c>
      <c r="E366" s="28" t="s">
        <v>15</v>
      </c>
      <c r="F366" s="28">
        <v>4</v>
      </c>
      <c r="G366" s="28" t="s">
        <v>93</v>
      </c>
      <c r="H366" s="28" t="s">
        <v>16</v>
      </c>
      <c r="I366" s="28" t="s">
        <v>16</v>
      </c>
      <c r="J366" s="28" t="s">
        <v>16</v>
      </c>
      <c r="K366" s="28" t="s">
        <v>76</v>
      </c>
      <c r="L366" s="29">
        <f t="shared" si="6"/>
        <v>36.36</v>
      </c>
    </row>
    <row r="367" spans="2:12" x14ac:dyDescent="0.25">
      <c r="B367" s="27">
        <v>45241</v>
      </c>
      <c r="C367" s="28" t="s">
        <v>44</v>
      </c>
      <c r="D367" s="28">
        <v>2023</v>
      </c>
      <c r="E367" s="28" t="s">
        <v>14</v>
      </c>
      <c r="F367" s="28">
        <v>2</v>
      </c>
      <c r="G367" s="28" t="s">
        <v>94</v>
      </c>
      <c r="H367" s="28" t="s">
        <v>16</v>
      </c>
      <c r="I367" s="28" t="s">
        <v>16</v>
      </c>
      <c r="J367" s="28" t="s">
        <v>16</v>
      </c>
      <c r="K367" s="28" t="s">
        <v>75</v>
      </c>
      <c r="L367" s="29">
        <f t="shared" si="6"/>
        <v>18.18</v>
      </c>
    </row>
    <row r="368" spans="2:12" x14ac:dyDescent="0.25">
      <c r="B368" s="27">
        <v>45241</v>
      </c>
      <c r="C368" s="28" t="s">
        <v>44</v>
      </c>
      <c r="D368" s="28">
        <v>2023</v>
      </c>
      <c r="E368" s="28" t="s">
        <v>15</v>
      </c>
      <c r="F368" s="28">
        <v>10</v>
      </c>
      <c r="G368" s="28" t="s">
        <v>111</v>
      </c>
      <c r="H368" s="28" t="s">
        <v>16</v>
      </c>
      <c r="I368" s="28" t="s">
        <v>16</v>
      </c>
      <c r="J368" s="28" t="s">
        <v>16</v>
      </c>
      <c r="K368" s="28" t="s">
        <v>78</v>
      </c>
      <c r="L368" s="29">
        <f t="shared" si="6"/>
        <v>90.9</v>
      </c>
    </row>
    <row r="369" spans="2:12" x14ac:dyDescent="0.25">
      <c r="B369" s="27">
        <v>45242</v>
      </c>
      <c r="C369" s="28" t="s">
        <v>44</v>
      </c>
      <c r="D369" s="28">
        <v>2023</v>
      </c>
      <c r="E369" s="28" t="s">
        <v>15</v>
      </c>
      <c r="F369" s="28">
        <v>3</v>
      </c>
      <c r="G369" s="28" t="s">
        <v>93</v>
      </c>
      <c r="H369" s="28" t="s">
        <v>16</v>
      </c>
      <c r="I369" s="28" t="s">
        <v>16</v>
      </c>
      <c r="J369" s="28" t="s">
        <v>16</v>
      </c>
      <c r="K369" s="28" t="s">
        <v>78</v>
      </c>
      <c r="L369" s="29">
        <f t="shared" si="6"/>
        <v>27.27</v>
      </c>
    </row>
    <row r="370" spans="2:12" x14ac:dyDescent="0.25">
      <c r="B370" s="27">
        <v>45242</v>
      </c>
      <c r="C370" s="28" t="s">
        <v>44</v>
      </c>
      <c r="D370" s="28">
        <v>2023</v>
      </c>
      <c r="E370" s="28" t="s">
        <v>15</v>
      </c>
      <c r="F370" s="28">
        <v>7</v>
      </c>
      <c r="G370" s="28" t="s">
        <v>93</v>
      </c>
      <c r="H370" s="28" t="s">
        <v>16</v>
      </c>
      <c r="I370" s="28" t="s">
        <v>16</v>
      </c>
      <c r="J370" s="28" t="s">
        <v>16</v>
      </c>
      <c r="K370" s="28" t="s">
        <v>76</v>
      </c>
      <c r="L370" s="29">
        <f t="shared" si="6"/>
        <v>63.629999999999995</v>
      </c>
    </row>
    <row r="371" spans="2:12" x14ac:dyDescent="0.25">
      <c r="B371" s="27">
        <v>45243</v>
      </c>
      <c r="C371" s="28" t="s">
        <v>44</v>
      </c>
      <c r="D371" s="28">
        <v>2023</v>
      </c>
      <c r="E371" s="28" t="s">
        <v>14</v>
      </c>
      <c r="F371" s="28">
        <v>26</v>
      </c>
      <c r="G371" s="28" t="s">
        <v>94</v>
      </c>
      <c r="H371" s="28" t="s">
        <v>16</v>
      </c>
      <c r="I371" s="28" t="s">
        <v>16</v>
      </c>
      <c r="J371" s="28" t="s">
        <v>16</v>
      </c>
      <c r="K371" s="28" t="s">
        <v>75</v>
      </c>
      <c r="L371" s="29">
        <f t="shared" si="6"/>
        <v>236.34</v>
      </c>
    </row>
    <row r="372" spans="2:12" x14ac:dyDescent="0.25">
      <c r="B372" s="27">
        <v>45243</v>
      </c>
      <c r="C372" s="28" t="s">
        <v>44</v>
      </c>
      <c r="D372" s="28">
        <v>2023</v>
      </c>
      <c r="E372" s="28" t="s">
        <v>15</v>
      </c>
      <c r="F372" s="28">
        <v>5</v>
      </c>
      <c r="G372" s="28" t="s">
        <v>94</v>
      </c>
      <c r="H372" s="28" t="s">
        <v>16</v>
      </c>
      <c r="I372" s="28" t="s">
        <v>16</v>
      </c>
      <c r="J372" s="28" t="s">
        <v>16</v>
      </c>
      <c r="K372" s="28" t="s">
        <v>76</v>
      </c>
      <c r="L372" s="29">
        <f t="shared" si="6"/>
        <v>45.45</v>
      </c>
    </row>
    <row r="373" spans="2:12" x14ac:dyDescent="0.25">
      <c r="B373" s="27">
        <v>45243</v>
      </c>
      <c r="C373" s="28" t="s">
        <v>44</v>
      </c>
      <c r="D373" s="28">
        <v>2023</v>
      </c>
      <c r="E373" s="28" t="s">
        <v>15</v>
      </c>
      <c r="F373" s="28">
        <v>3</v>
      </c>
      <c r="G373" s="28" t="s">
        <v>93</v>
      </c>
      <c r="H373" s="28" t="s">
        <v>16</v>
      </c>
      <c r="I373" s="28" t="s">
        <v>16</v>
      </c>
      <c r="J373" s="28" t="s">
        <v>16</v>
      </c>
      <c r="K373" s="28" t="s">
        <v>78</v>
      </c>
      <c r="L373" s="29">
        <f t="shared" si="6"/>
        <v>27.27</v>
      </c>
    </row>
    <row r="374" spans="2:12" x14ac:dyDescent="0.25">
      <c r="B374" s="27">
        <v>45247</v>
      </c>
      <c r="C374" s="28" t="s">
        <v>44</v>
      </c>
      <c r="D374" s="28">
        <v>2023</v>
      </c>
      <c r="E374" s="28" t="s">
        <v>14</v>
      </c>
      <c r="F374" s="28">
        <v>3</v>
      </c>
      <c r="G374" s="28" t="s">
        <v>93</v>
      </c>
      <c r="H374" s="28" t="s">
        <v>16</v>
      </c>
      <c r="I374" s="28" t="s">
        <v>16</v>
      </c>
      <c r="J374" s="28" t="s">
        <v>16</v>
      </c>
      <c r="K374" s="28" t="s">
        <v>78</v>
      </c>
      <c r="L374" s="29">
        <f t="shared" si="6"/>
        <v>27.27</v>
      </c>
    </row>
    <row r="375" spans="2:12" x14ac:dyDescent="0.25">
      <c r="B375" s="27">
        <v>45250</v>
      </c>
      <c r="C375" s="28" t="s">
        <v>44</v>
      </c>
      <c r="D375" s="28">
        <v>2023</v>
      </c>
      <c r="E375" s="28" t="s">
        <v>14</v>
      </c>
      <c r="F375" s="28">
        <v>3</v>
      </c>
      <c r="G375" s="28" t="s">
        <v>93</v>
      </c>
      <c r="H375" s="28" t="s">
        <v>16</v>
      </c>
      <c r="I375" s="28" t="s">
        <v>16</v>
      </c>
      <c r="J375" s="28" t="s">
        <v>16</v>
      </c>
      <c r="K375" s="28" t="s">
        <v>79</v>
      </c>
      <c r="L375" s="29">
        <f t="shared" ref="L375:L428" si="7">F375*9.09</f>
        <v>27.27</v>
      </c>
    </row>
    <row r="376" spans="2:12" x14ac:dyDescent="0.25">
      <c r="B376" s="27">
        <v>45251</v>
      </c>
      <c r="C376" s="28" t="s">
        <v>44</v>
      </c>
      <c r="D376" s="28">
        <v>2023</v>
      </c>
      <c r="E376" s="28" t="s">
        <v>15</v>
      </c>
      <c r="F376" s="28">
        <v>4</v>
      </c>
      <c r="G376" s="28" t="s">
        <v>85</v>
      </c>
      <c r="H376" s="28" t="s">
        <v>16</v>
      </c>
      <c r="I376" s="28" t="s">
        <v>16</v>
      </c>
      <c r="J376" s="28" t="s">
        <v>16</v>
      </c>
      <c r="K376" s="28" t="s">
        <v>76</v>
      </c>
      <c r="L376" s="29">
        <f t="shared" si="7"/>
        <v>36.36</v>
      </c>
    </row>
    <row r="377" spans="2:12" x14ac:dyDescent="0.25">
      <c r="B377" s="27">
        <v>45251</v>
      </c>
      <c r="C377" s="28" t="s">
        <v>44</v>
      </c>
      <c r="D377" s="28">
        <v>2023</v>
      </c>
      <c r="E377" s="28" t="s">
        <v>15</v>
      </c>
      <c r="F377" s="28">
        <v>2</v>
      </c>
      <c r="G377" s="28" t="s">
        <v>85</v>
      </c>
      <c r="H377" s="28" t="s">
        <v>16</v>
      </c>
      <c r="I377" s="28" t="s">
        <v>16</v>
      </c>
      <c r="J377" s="28" t="s">
        <v>16</v>
      </c>
      <c r="K377" s="28" t="s">
        <v>79</v>
      </c>
      <c r="L377" s="29">
        <f t="shared" si="7"/>
        <v>18.18</v>
      </c>
    </row>
    <row r="378" spans="2:12" x14ac:dyDescent="0.25">
      <c r="B378" s="27">
        <v>45252</v>
      </c>
      <c r="C378" s="28" t="s">
        <v>44</v>
      </c>
      <c r="D378" s="28">
        <v>2023</v>
      </c>
      <c r="E378" s="28" t="s">
        <v>15</v>
      </c>
      <c r="F378" s="28">
        <v>5</v>
      </c>
      <c r="G378" s="28" t="s">
        <v>99</v>
      </c>
      <c r="H378" s="28" t="s">
        <v>16</v>
      </c>
      <c r="I378" s="28" t="s">
        <v>16</v>
      </c>
      <c r="J378" s="28" t="s">
        <v>16</v>
      </c>
      <c r="K378" s="28" t="s">
        <v>79</v>
      </c>
      <c r="L378" s="29">
        <f t="shared" si="7"/>
        <v>45.45</v>
      </c>
    </row>
    <row r="379" spans="2:12" x14ac:dyDescent="0.25">
      <c r="B379" s="27">
        <v>45255</v>
      </c>
      <c r="C379" s="28" t="s">
        <v>44</v>
      </c>
      <c r="D379" s="28">
        <v>2023</v>
      </c>
      <c r="E379" s="28" t="s">
        <v>15</v>
      </c>
      <c r="F379" s="28">
        <v>6</v>
      </c>
      <c r="G379" s="28" t="s">
        <v>111</v>
      </c>
      <c r="H379" s="28" t="s">
        <v>16</v>
      </c>
      <c r="I379" s="28" t="s">
        <v>16</v>
      </c>
      <c r="J379" s="28" t="s">
        <v>16</v>
      </c>
      <c r="K379" s="28" t="s">
        <v>76</v>
      </c>
      <c r="L379" s="29">
        <f t="shared" si="7"/>
        <v>54.54</v>
      </c>
    </row>
    <row r="380" spans="2:12" x14ac:dyDescent="0.25">
      <c r="B380" s="27">
        <v>45257</v>
      </c>
      <c r="C380" s="28" t="s">
        <v>44</v>
      </c>
      <c r="D380" s="28">
        <v>2023</v>
      </c>
      <c r="E380" s="28" t="s">
        <v>14</v>
      </c>
      <c r="F380" s="28">
        <v>2</v>
      </c>
      <c r="G380" s="28" t="s">
        <v>98</v>
      </c>
      <c r="H380" s="28" t="s">
        <v>16</v>
      </c>
      <c r="I380" s="28" t="s">
        <v>16</v>
      </c>
      <c r="J380" s="28" t="s">
        <v>16</v>
      </c>
      <c r="K380" s="28" t="s">
        <v>75</v>
      </c>
      <c r="L380" s="29">
        <f t="shared" si="7"/>
        <v>18.18</v>
      </c>
    </row>
    <row r="381" spans="2:12" x14ac:dyDescent="0.25">
      <c r="B381" s="27">
        <v>45257</v>
      </c>
      <c r="C381" s="28" t="s">
        <v>44</v>
      </c>
      <c r="D381" s="28">
        <v>2023</v>
      </c>
      <c r="E381" s="28" t="s">
        <v>14</v>
      </c>
      <c r="F381" s="28">
        <v>0</v>
      </c>
      <c r="G381" s="28" t="s">
        <v>93</v>
      </c>
      <c r="H381" s="28" t="s">
        <v>16</v>
      </c>
      <c r="I381" s="28" t="s">
        <v>16</v>
      </c>
      <c r="J381" s="28" t="s">
        <v>16</v>
      </c>
      <c r="K381" s="28" t="s">
        <v>73</v>
      </c>
      <c r="L381" s="29">
        <f t="shared" si="7"/>
        <v>0</v>
      </c>
    </row>
    <row r="382" spans="2:12" x14ac:dyDescent="0.25">
      <c r="B382" s="27">
        <v>45257</v>
      </c>
      <c r="C382" s="28" t="s">
        <v>44</v>
      </c>
      <c r="D382" s="28">
        <v>2023</v>
      </c>
      <c r="E382" s="28" t="s">
        <v>14</v>
      </c>
      <c r="F382" s="28">
        <v>0</v>
      </c>
      <c r="G382" s="28" t="s">
        <v>93</v>
      </c>
      <c r="H382" s="28" t="s">
        <v>16</v>
      </c>
      <c r="I382" s="28" t="s">
        <v>16</v>
      </c>
      <c r="J382" s="28" t="s">
        <v>16</v>
      </c>
      <c r="K382" s="28" t="s">
        <v>73</v>
      </c>
      <c r="L382" s="29">
        <f t="shared" si="7"/>
        <v>0</v>
      </c>
    </row>
    <row r="383" spans="2:12" x14ac:dyDescent="0.25">
      <c r="B383" s="27">
        <v>45258</v>
      </c>
      <c r="C383" s="28" t="s">
        <v>44</v>
      </c>
      <c r="D383" s="28">
        <v>2023</v>
      </c>
      <c r="E383" s="28" t="s">
        <v>14</v>
      </c>
      <c r="F383" s="28">
        <v>2</v>
      </c>
      <c r="G383" s="28" t="s">
        <v>111</v>
      </c>
      <c r="H383" s="28" t="s">
        <v>16</v>
      </c>
      <c r="I383" s="28" t="s">
        <v>16</v>
      </c>
      <c r="J383" s="28" t="s">
        <v>16</v>
      </c>
      <c r="K383" s="28" t="s">
        <v>79</v>
      </c>
      <c r="L383" s="29">
        <f t="shared" si="7"/>
        <v>18.18</v>
      </c>
    </row>
    <row r="384" spans="2:12" x14ac:dyDescent="0.25">
      <c r="B384" s="27">
        <v>45258</v>
      </c>
      <c r="C384" s="28" t="s">
        <v>44</v>
      </c>
      <c r="D384" s="28">
        <v>2023</v>
      </c>
      <c r="E384" s="28" t="s">
        <v>14</v>
      </c>
      <c r="F384" s="28">
        <v>3</v>
      </c>
      <c r="G384" s="28" t="s">
        <v>98</v>
      </c>
      <c r="H384" s="28" t="s">
        <v>16</v>
      </c>
      <c r="I384" s="28" t="s">
        <v>16</v>
      </c>
      <c r="J384" s="28" t="s">
        <v>16</v>
      </c>
      <c r="K384" s="28" t="s">
        <v>79</v>
      </c>
      <c r="L384" s="29">
        <f t="shared" si="7"/>
        <v>27.27</v>
      </c>
    </row>
    <row r="385" spans="2:12" x14ac:dyDescent="0.25">
      <c r="B385" s="27">
        <v>45258</v>
      </c>
      <c r="C385" s="28" t="s">
        <v>44</v>
      </c>
      <c r="D385" s="28">
        <v>2023</v>
      </c>
      <c r="E385" s="28" t="s">
        <v>15</v>
      </c>
      <c r="F385" s="28">
        <v>4</v>
      </c>
      <c r="G385" s="28" t="s">
        <v>85</v>
      </c>
      <c r="H385" s="28" t="s">
        <v>16</v>
      </c>
      <c r="I385" s="28" t="s">
        <v>16</v>
      </c>
      <c r="J385" s="28" t="s">
        <v>16</v>
      </c>
      <c r="K385" s="28" t="s">
        <v>79</v>
      </c>
      <c r="L385" s="29">
        <f t="shared" si="7"/>
        <v>36.36</v>
      </c>
    </row>
    <row r="386" spans="2:12" x14ac:dyDescent="0.25">
      <c r="B386" s="27">
        <v>45258</v>
      </c>
      <c r="C386" s="28" t="s">
        <v>44</v>
      </c>
      <c r="D386" s="28">
        <v>2023</v>
      </c>
      <c r="E386" s="28" t="s">
        <v>14</v>
      </c>
      <c r="F386" s="28">
        <v>26</v>
      </c>
      <c r="G386" s="28" t="s">
        <v>93</v>
      </c>
      <c r="H386" s="28" t="s">
        <v>16</v>
      </c>
      <c r="I386" s="28" t="s">
        <v>16</v>
      </c>
      <c r="J386" s="28" t="s">
        <v>16</v>
      </c>
      <c r="K386" s="28" t="s">
        <v>76</v>
      </c>
      <c r="L386" s="29">
        <f t="shared" si="7"/>
        <v>236.34</v>
      </c>
    </row>
    <row r="387" spans="2:12" x14ac:dyDescent="0.25">
      <c r="B387" s="27">
        <v>45260</v>
      </c>
      <c r="C387" s="28" t="s">
        <v>44</v>
      </c>
      <c r="D387" s="28">
        <v>2023</v>
      </c>
      <c r="E387" s="28" t="s">
        <v>15</v>
      </c>
      <c r="F387" s="28">
        <v>4</v>
      </c>
      <c r="G387" s="28" t="s">
        <v>98</v>
      </c>
      <c r="H387" s="28" t="s">
        <v>16</v>
      </c>
      <c r="I387" s="28" t="s">
        <v>16</v>
      </c>
      <c r="J387" s="28" t="s">
        <v>16</v>
      </c>
      <c r="K387" s="28" t="s">
        <v>75</v>
      </c>
      <c r="L387" s="29">
        <f t="shared" si="7"/>
        <v>36.36</v>
      </c>
    </row>
    <row r="388" spans="2:12" x14ac:dyDescent="0.25">
      <c r="B388" s="27">
        <v>45260</v>
      </c>
      <c r="C388" s="28" t="s">
        <v>44</v>
      </c>
      <c r="D388" s="28">
        <v>2023</v>
      </c>
      <c r="E388" s="28" t="s">
        <v>14</v>
      </c>
      <c r="F388" s="28">
        <v>44</v>
      </c>
      <c r="G388" s="28" t="s">
        <v>98</v>
      </c>
      <c r="H388" s="28" t="s">
        <v>16</v>
      </c>
      <c r="I388" s="28" t="s">
        <v>16</v>
      </c>
      <c r="J388" s="28" t="s">
        <v>16</v>
      </c>
      <c r="K388" s="28" t="s">
        <v>78</v>
      </c>
      <c r="L388" s="29">
        <f t="shared" si="7"/>
        <v>399.96</v>
      </c>
    </row>
    <row r="389" spans="2:12" x14ac:dyDescent="0.25">
      <c r="B389" s="27">
        <v>45261</v>
      </c>
      <c r="C389" s="28" t="s">
        <v>45</v>
      </c>
      <c r="D389" s="28">
        <v>2023</v>
      </c>
      <c r="E389" s="28" t="s">
        <v>15</v>
      </c>
      <c r="F389" s="28">
        <v>2</v>
      </c>
      <c r="G389" s="28" t="s">
        <v>94</v>
      </c>
      <c r="H389" s="28" t="s">
        <v>16</v>
      </c>
      <c r="I389" s="28" t="s">
        <v>16</v>
      </c>
      <c r="J389" s="28" t="s">
        <v>16</v>
      </c>
      <c r="K389" s="28" t="s">
        <v>78</v>
      </c>
      <c r="L389" s="29">
        <f t="shared" si="7"/>
        <v>18.18</v>
      </c>
    </row>
    <row r="390" spans="2:12" x14ac:dyDescent="0.25">
      <c r="B390" s="27">
        <v>45261</v>
      </c>
      <c r="C390" s="28" t="s">
        <v>45</v>
      </c>
      <c r="D390" s="28">
        <v>2023</v>
      </c>
      <c r="E390" s="28" t="s">
        <v>14</v>
      </c>
      <c r="F390" s="28">
        <v>5</v>
      </c>
      <c r="G390" s="28" t="s">
        <v>111</v>
      </c>
      <c r="H390" s="28" t="s">
        <v>16</v>
      </c>
      <c r="I390" s="28" t="s">
        <v>16</v>
      </c>
      <c r="J390" s="28" t="s">
        <v>16</v>
      </c>
      <c r="K390" s="28" t="s">
        <v>78</v>
      </c>
      <c r="L390" s="29">
        <f t="shared" si="7"/>
        <v>45.45</v>
      </c>
    </row>
    <row r="391" spans="2:12" x14ac:dyDescent="0.25">
      <c r="B391" s="27">
        <v>45261</v>
      </c>
      <c r="C391" s="28" t="s">
        <v>45</v>
      </c>
      <c r="D391" s="28">
        <v>2023</v>
      </c>
      <c r="E391" s="28" t="s">
        <v>14</v>
      </c>
      <c r="F391" s="28">
        <v>26</v>
      </c>
      <c r="G391" s="28" t="s">
        <v>111</v>
      </c>
      <c r="H391" s="28" t="s">
        <v>16</v>
      </c>
      <c r="I391" s="28" t="s">
        <v>16</v>
      </c>
      <c r="J391" s="28" t="s">
        <v>16</v>
      </c>
      <c r="K391" s="28" t="s">
        <v>76</v>
      </c>
      <c r="L391" s="29">
        <f t="shared" si="7"/>
        <v>236.34</v>
      </c>
    </row>
    <row r="392" spans="2:12" x14ac:dyDescent="0.25">
      <c r="B392" s="27">
        <v>45262</v>
      </c>
      <c r="C392" s="28" t="s">
        <v>45</v>
      </c>
      <c r="D392" s="28">
        <v>2023</v>
      </c>
      <c r="E392" s="28" t="s">
        <v>14</v>
      </c>
      <c r="F392" s="28">
        <v>2</v>
      </c>
      <c r="G392" s="28" t="s">
        <v>111</v>
      </c>
      <c r="H392" s="28" t="s">
        <v>16</v>
      </c>
      <c r="I392" s="28" t="s">
        <v>16</v>
      </c>
      <c r="J392" s="28" t="s">
        <v>16</v>
      </c>
      <c r="K392" s="28" t="s">
        <v>78</v>
      </c>
      <c r="L392" s="29">
        <f t="shared" si="7"/>
        <v>18.18</v>
      </c>
    </row>
    <row r="393" spans="2:12" x14ac:dyDescent="0.25">
      <c r="B393" s="27">
        <v>45263</v>
      </c>
      <c r="C393" s="28" t="s">
        <v>45</v>
      </c>
      <c r="D393" s="28">
        <v>2023</v>
      </c>
      <c r="E393" s="28" t="s">
        <v>14</v>
      </c>
      <c r="F393" s="28">
        <v>2</v>
      </c>
      <c r="G393" s="28" t="s">
        <v>111</v>
      </c>
      <c r="H393" s="28" t="s">
        <v>16</v>
      </c>
      <c r="I393" s="28" t="s">
        <v>16</v>
      </c>
      <c r="J393" s="28" t="s">
        <v>16</v>
      </c>
      <c r="K393" s="28" t="s">
        <v>78</v>
      </c>
      <c r="L393" s="29">
        <f t="shared" si="7"/>
        <v>18.18</v>
      </c>
    </row>
    <row r="394" spans="2:12" x14ac:dyDescent="0.25">
      <c r="B394" s="27">
        <v>45264</v>
      </c>
      <c r="C394" s="28" t="s">
        <v>45</v>
      </c>
      <c r="D394" s="28">
        <v>2023</v>
      </c>
      <c r="E394" s="28" t="s">
        <v>15</v>
      </c>
      <c r="F394" s="28">
        <v>26</v>
      </c>
      <c r="G394" s="28" t="s">
        <v>93</v>
      </c>
      <c r="H394" s="28" t="s">
        <v>16</v>
      </c>
      <c r="I394" s="28" t="s">
        <v>16</v>
      </c>
      <c r="J394" s="28" t="s">
        <v>16</v>
      </c>
      <c r="K394" s="28" t="s">
        <v>76</v>
      </c>
      <c r="L394" s="29">
        <f t="shared" si="7"/>
        <v>236.34</v>
      </c>
    </row>
    <row r="395" spans="2:12" x14ac:dyDescent="0.25">
      <c r="B395" s="27">
        <v>45266</v>
      </c>
      <c r="C395" s="28" t="s">
        <v>45</v>
      </c>
      <c r="D395" s="28">
        <v>2023</v>
      </c>
      <c r="E395" s="28" t="s">
        <v>15</v>
      </c>
      <c r="F395" s="28">
        <v>3</v>
      </c>
      <c r="G395" s="28" t="s">
        <v>111</v>
      </c>
      <c r="H395" s="28" t="s">
        <v>16</v>
      </c>
      <c r="I395" s="28" t="s">
        <v>16</v>
      </c>
      <c r="J395" s="28" t="s">
        <v>16</v>
      </c>
      <c r="K395" s="28" t="s">
        <v>75</v>
      </c>
      <c r="L395" s="29">
        <f t="shared" si="7"/>
        <v>27.27</v>
      </c>
    </row>
    <row r="396" spans="2:12" x14ac:dyDescent="0.25">
      <c r="B396" s="27">
        <v>45267</v>
      </c>
      <c r="C396" s="28" t="s">
        <v>45</v>
      </c>
      <c r="D396" s="28">
        <v>2023</v>
      </c>
      <c r="E396" s="28" t="s">
        <v>14</v>
      </c>
      <c r="F396" s="28">
        <v>4</v>
      </c>
      <c r="G396" s="28" t="s">
        <v>93</v>
      </c>
      <c r="H396" s="28" t="s">
        <v>16</v>
      </c>
      <c r="I396" s="28" t="s">
        <v>16</v>
      </c>
      <c r="J396" s="28" t="s">
        <v>16</v>
      </c>
      <c r="K396" s="28" t="s">
        <v>79</v>
      </c>
      <c r="L396" s="29">
        <f t="shared" si="7"/>
        <v>36.36</v>
      </c>
    </row>
    <row r="397" spans="2:12" x14ac:dyDescent="0.25">
      <c r="B397" s="27">
        <v>45268</v>
      </c>
      <c r="C397" s="28" t="s">
        <v>45</v>
      </c>
      <c r="D397" s="28">
        <v>2023</v>
      </c>
      <c r="E397" s="28" t="s">
        <v>15</v>
      </c>
      <c r="F397" s="28">
        <v>6</v>
      </c>
      <c r="G397" s="28" t="s">
        <v>97</v>
      </c>
      <c r="H397" s="28" t="s">
        <v>16</v>
      </c>
      <c r="I397" s="28" t="s">
        <v>16</v>
      </c>
      <c r="J397" s="28" t="s">
        <v>16</v>
      </c>
      <c r="K397" s="28" t="s">
        <v>76</v>
      </c>
      <c r="L397" s="29">
        <f t="shared" si="7"/>
        <v>54.54</v>
      </c>
    </row>
    <row r="398" spans="2:12" x14ac:dyDescent="0.25">
      <c r="B398" s="27">
        <v>45269</v>
      </c>
      <c r="C398" s="28" t="s">
        <v>45</v>
      </c>
      <c r="D398" s="28">
        <v>2023</v>
      </c>
      <c r="E398" s="28" t="s">
        <v>15</v>
      </c>
      <c r="F398" s="28">
        <v>0</v>
      </c>
      <c r="G398" s="28" t="s">
        <v>85</v>
      </c>
      <c r="H398" s="28" t="s">
        <v>16</v>
      </c>
      <c r="I398" s="28" t="s">
        <v>16</v>
      </c>
      <c r="J398" s="28" t="s">
        <v>16</v>
      </c>
      <c r="K398" s="28" t="s">
        <v>75</v>
      </c>
      <c r="L398" s="29">
        <f t="shared" si="7"/>
        <v>0</v>
      </c>
    </row>
    <row r="399" spans="2:12" x14ac:dyDescent="0.25">
      <c r="B399" s="27">
        <v>45269</v>
      </c>
      <c r="C399" s="28" t="s">
        <v>45</v>
      </c>
      <c r="D399" s="28">
        <v>2023</v>
      </c>
      <c r="E399" s="28" t="s">
        <v>15</v>
      </c>
      <c r="F399" s="28">
        <v>3</v>
      </c>
      <c r="G399" s="28" t="s">
        <v>111</v>
      </c>
      <c r="H399" s="28" t="s">
        <v>16</v>
      </c>
      <c r="I399" s="28" t="s">
        <v>16</v>
      </c>
      <c r="J399" s="28" t="s">
        <v>16</v>
      </c>
      <c r="K399" s="28" t="s">
        <v>78</v>
      </c>
      <c r="L399" s="29">
        <f t="shared" si="7"/>
        <v>27.27</v>
      </c>
    </row>
    <row r="400" spans="2:12" x14ac:dyDescent="0.25">
      <c r="B400" s="27">
        <v>45270</v>
      </c>
      <c r="C400" s="28" t="s">
        <v>45</v>
      </c>
      <c r="D400" s="28">
        <v>2023</v>
      </c>
      <c r="E400" s="28" t="s">
        <v>15</v>
      </c>
      <c r="F400" s="28">
        <v>4</v>
      </c>
      <c r="G400" s="28" t="s">
        <v>91</v>
      </c>
      <c r="H400" s="28" t="s">
        <v>16</v>
      </c>
      <c r="I400" s="28" t="s">
        <v>16</v>
      </c>
      <c r="J400" s="28" t="s">
        <v>16</v>
      </c>
      <c r="K400" s="28" t="s">
        <v>78</v>
      </c>
      <c r="L400" s="29">
        <f t="shared" si="7"/>
        <v>36.36</v>
      </c>
    </row>
    <row r="401" spans="2:12" x14ac:dyDescent="0.25">
      <c r="B401" s="27">
        <v>45270</v>
      </c>
      <c r="C401" s="28" t="s">
        <v>45</v>
      </c>
      <c r="D401" s="28">
        <v>2023</v>
      </c>
      <c r="E401" s="28" t="s">
        <v>15</v>
      </c>
      <c r="F401" s="28">
        <v>4</v>
      </c>
      <c r="G401" s="28" t="s">
        <v>91</v>
      </c>
      <c r="H401" s="28" t="s">
        <v>16</v>
      </c>
      <c r="I401" s="28" t="s">
        <v>16</v>
      </c>
      <c r="J401" s="28" t="s">
        <v>16</v>
      </c>
      <c r="K401" s="28" t="s">
        <v>78</v>
      </c>
      <c r="L401" s="29">
        <f t="shared" si="7"/>
        <v>36.36</v>
      </c>
    </row>
    <row r="402" spans="2:12" x14ac:dyDescent="0.25">
      <c r="B402" s="27">
        <v>45270</v>
      </c>
      <c r="C402" s="28" t="s">
        <v>45</v>
      </c>
      <c r="D402" s="28">
        <v>2023</v>
      </c>
      <c r="E402" s="28" t="s">
        <v>15</v>
      </c>
      <c r="F402" s="28">
        <v>4</v>
      </c>
      <c r="G402" s="28" t="s">
        <v>91</v>
      </c>
      <c r="H402" s="28" t="s">
        <v>16</v>
      </c>
      <c r="I402" s="28" t="s">
        <v>16</v>
      </c>
      <c r="J402" s="28" t="s">
        <v>16</v>
      </c>
      <c r="K402" s="28" t="s">
        <v>78</v>
      </c>
      <c r="L402" s="29">
        <f t="shared" si="7"/>
        <v>36.36</v>
      </c>
    </row>
    <row r="403" spans="2:12" x14ac:dyDescent="0.25">
      <c r="B403" s="27">
        <v>45270</v>
      </c>
      <c r="C403" s="28" t="s">
        <v>45</v>
      </c>
      <c r="D403" s="28">
        <v>2023</v>
      </c>
      <c r="E403" s="28" t="s">
        <v>14</v>
      </c>
      <c r="F403" s="28">
        <v>9</v>
      </c>
      <c r="G403" s="28" t="s">
        <v>89</v>
      </c>
      <c r="H403" s="28" t="s">
        <v>16</v>
      </c>
      <c r="I403" s="28" t="s">
        <v>16</v>
      </c>
      <c r="J403" s="28" t="s">
        <v>16</v>
      </c>
      <c r="K403" s="28" t="s">
        <v>78</v>
      </c>
      <c r="L403" s="29">
        <f t="shared" si="7"/>
        <v>81.81</v>
      </c>
    </row>
    <row r="404" spans="2:12" x14ac:dyDescent="0.25">
      <c r="B404" s="27">
        <v>45271</v>
      </c>
      <c r="C404" s="28" t="s">
        <v>45</v>
      </c>
      <c r="D404" s="28">
        <v>2023</v>
      </c>
      <c r="E404" s="28" t="s">
        <v>15</v>
      </c>
      <c r="F404" s="28">
        <v>5</v>
      </c>
      <c r="G404" s="28" t="s">
        <v>94</v>
      </c>
      <c r="H404" s="28" t="s">
        <v>16</v>
      </c>
      <c r="I404" s="28" t="s">
        <v>16</v>
      </c>
      <c r="J404" s="28" t="s">
        <v>16</v>
      </c>
      <c r="K404" s="28" t="s">
        <v>78</v>
      </c>
      <c r="L404" s="29">
        <f t="shared" si="7"/>
        <v>45.45</v>
      </c>
    </row>
    <row r="405" spans="2:12" x14ac:dyDescent="0.25">
      <c r="B405" s="27">
        <v>45271</v>
      </c>
      <c r="C405" s="28" t="s">
        <v>45</v>
      </c>
      <c r="D405" s="28">
        <v>2023</v>
      </c>
      <c r="E405" s="28" t="s">
        <v>15</v>
      </c>
      <c r="F405" s="28">
        <v>6</v>
      </c>
      <c r="G405" s="28" t="s">
        <v>89</v>
      </c>
      <c r="H405" s="28" t="s">
        <v>16</v>
      </c>
      <c r="I405" s="28" t="s">
        <v>16</v>
      </c>
      <c r="J405" s="28" t="s">
        <v>16</v>
      </c>
      <c r="K405" s="28" t="s">
        <v>83</v>
      </c>
      <c r="L405" s="29">
        <f t="shared" si="7"/>
        <v>54.54</v>
      </c>
    </row>
    <row r="406" spans="2:12" x14ac:dyDescent="0.25">
      <c r="B406" s="27">
        <v>45271</v>
      </c>
      <c r="C406" s="28" t="s">
        <v>45</v>
      </c>
      <c r="D406" s="28">
        <v>2023</v>
      </c>
      <c r="E406" s="28" t="s">
        <v>15</v>
      </c>
      <c r="F406" s="28">
        <v>5</v>
      </c>
      <c r="G406" s="28" t="s">
        <v>85</v>
      </c>
      <c r="H406" s="28" t="s">
        <v>16</v>
      </c>
      <c r="I406" s="28" t="s">
        <v>16</v>
      </c>
      <c r="J406" s="28" t="s">
        <v>16</v>
      </c>
      <c r="K406" s="28" t="s">
        <v>76</v>
      </c>
      <c r="L406" s="29">
        <f t="shared" si="7"/>
        <v>45.45</v>
      </c>
    </row>
    <row r="407" spans="2:12" x14ac:dyDescent="0.25">
      <c r="B407" s="27">
        <v>45271</v>
      </c>
      <c r="C407" s="28" t="s">
        <v>45</v>
      </c>
      <c r="D407" s="28">
        <v>2023</v>
      </c>
      <c r="E407" s="28" t="s">
        <v>15</v>
      </c>
      <c r="F407" s="28">
        <v>5</v>
      </c>
      <c r="G407" s="28" t="s">
        <v>85</v>
      </c>
      <c r="H407" s="28" t="s">
        <v>16</v>
      </c>
      <c r="I407" s="28" t="s">
        <v>16</v>
      </c>
      <c r="J407" s="28" t="s">
        <v>16</v>
      </c>
      <c r="K407" s="28" t="s">
        <v>83</v>
      </c>
      <c r="L407" s="29">
        <f t="shared" si="7"/>
        <v>45.45</v>
      </c>
    </row>
    <row r="408" spans="2:12" x14ac:dyDescent="0.25">
      <c r="B408" s="27">
        <v>45271</v>
      </c>
      <c r="C408" s="28" t="s">
        <v>45</v>
      </c>
      <c r="D408" s="28">
        <v>2023</v>
      </c>
      <c r="E408" s="28" t="s">
        <v>15</v>
      </c>
      <c r="F408" s="28">
        <v>4</v>
      </c>
      <c r="G408" s="28" t="s">
        <v>97</v>
      </c>
      <c r="H408" s="28" t="s">
        <v>16</v>
      </c>
      <c r="I408" s="28" t="s">
        <v>16</v>
      </c>
      <c r="J408" s="28" t="s">
        <v>16</v>
      </c>
      <c r="K408" s="28" t="s">
        <v>83</v>
      </c>
      <c r="L408" s="29">
        <f t="shared" si="7"/>
        <v>36.36</v>
      </c>
    </row>
    <row r="409" spans="2:12" x14ac:dyDescent="0.25">
      <c r="B409" s="27">
        <v>45272</v>
      </c>
      <c r="C409" s="28" t="s">
        <v>45</v>
      </c>
      <c r="D409" s="28">
        <v>2023</v>
      </c>
      <c r="E409" s="28" t="s">
        <v>15</v>
      </c>
      <c r="F409" s="28">
        <v>3</v>
      </c>
      <c r="G409" s="28" t="s">
        <v>85</v>
      </c>
      <c r="H409" s="28" t="s">
        <v>16</v>
      </c>
      <c r="I409" s="28" t="s">
        <v>16</v>
      </c>
      <c r="J409" s="28" t="s">
        <v>16</v>
      </c>
      <c r="K409" s="28" t="s">
        <v>83</v>
      </c>
      <c r="L409" s="29">
        <f t="shared" si="7"/>
        <v>27.27</v>
      </c>
    </row>
    <row r="410" spans="2:12" x14ac:dyDescent="0.25">
      <c r="B410" s="27">
        <v>45274</v>
      </c>
      <c r="C410" s="28" t="s">
        <v>45</v>
      </c>
      <c r="D410" s="28">
        <v>2023</v>
      </c>
      <c r="E410" s="28" t="s">
        <v>15</v>
      </c>
      <c r="F410" s="28">
        <v>4</v>
      </c>
      <c r="G410" s="28" t="s">
        <v>108</v>
      </c>
      <c r="H410" s="28" t="s">
        <v>16</v>
      </c>
      <c r="I410" s="28" t="s">
        <v>16</v>
      </c>
      <c r="J410" s="28" t="s">
        <v>16</v>
      </c>
      <c r="K410" s="28" t="s">
        <v>76</v>
      </c>
      <c r="L410" s="29">
        <f t="shared" si="7"/>
        <v>36.36</v>
      </c>
    </row>
    <row r="411" spans="2:12" x14ac:dyDescent="0.25">
      <c r="B411" s="27">
        <v>45274</v>
      </c>
      <c r="C411" s="28" t="s">
        <v>45</v>
      </c>
      <c r="D411" s="28">
        <v>2023</v>
      </c>
      <c r="E411" s="28" t="s">
        <v>15</v>
      </c>
      <c r="F411" s="28">
        <v>2</v>
      </c>
      <c r="G411" s="28" t="s">
        <v>99</v>
      </c>
      <c r="H411" s="28" t="s">
        <v>16</v>
      </c>
      <c r="I411" s="28" t="s">
        <v>16</v>
      </c>
      <c r="J411" s="28" t="s">
        <v>16</v>
      </c>
      <c r="K411" s="28" t="s">
        <v>76</v>
      </c>
      <c r="L411" s="29">
        <f t="shared" si="7"/>
        <v>18.18</v>
      </c>
    </row>
    <row r="412" spans="2:12" x14ac:dyDescent="0.25">
      <c r="B412" s="27">
        <v>45275</v>
      </c>
      <c r="C412" s="28" t="s">
        <v>45</v>
      </c>
      <c r="D412" s="28">
        <v>2023</v>
      </c>
      <c r="E412" s="28" t="s">
        <v>15</v>
      </c>
      <c r="F412" s="28">
        <v>1</v>
      </c>
      <c r="G412" s="28" t="s">
        <v>94</v>
      </c>
      <c r="H412" s="28" t="s">
        <v>16</v>
      </c>
      <c r="I412" s="28" t="s">
        <v>16</v>
      </c>
      <c r="J412" s="28" t="s">
        <v>16</v>
      </c>
      <c r="K412" s="28" t="s">
        <v>76</v>
      </c>
      <c r="L412" s="29">
        <f t="shared" si="7"/>
        <v>9.09</v>
      </c>
    </row>
    <row r="413" spans="2:12" x14ac:dyDescent="0.25">
      <c r="B413" s="27">
        <v>45276</v>
      </c>
      <c r="C413" s="28" t="s">
        <v>45</v>
      </c>
      <c r="D413" s="28">
        <v>2023</v>
      </c>
      <c r="E413" s="28" t="s">
        <v>14</v>
      </c>
      <c r="F413" s="28">
        <v>26</v>
      </c>
      <c r="G413" s="28" t="s">
        <v>93</v>
      </c>
      <c r="H413" s="28" t="s">
        <v>16</v>
      </c>
      <c r="I413" s="28" t="s">
        <v>16</v>
      </c>
      <c r="J413" s="28" t="s">
        <v>16</v>
      </c>
      <c r="K413" s="28" t="s">
        <v>78</v>
      </c>
      <c r="L413" s="29">
        <f t="shared" si="7"/>
        <v>236.34</v>
      </c>
    </row>
    <row r="414" spans="2:12" x14ac:dyDescent="0.25">
      <c r="B414" s="27">
        <v>45276</v>
      </c>
      <c r="C414" s="28" t="s">
        <v>45</v>
      </c>
      <c r="D414" s="28">
        <v>2023</v>
      </c>
      <c r="E414" s="28" t="s">
        <v>15</v>
      </c>
      <c r="F414" s="28">
        <v>4</v>
      </c>
      <c r="G414" s="28" t="s">
        <v>111</v>
      </c>
      <c r="H414" s="28" t="s">
        <v>16</v>
      </c>
      <c r="I414" s="28" t="s">
        <v>16</v>
      </c>
      <c r="J414" s="28" t="s">
        <v>16</v>
      </c>
      <c r="K414" s="28" t="s">
        <v>83</v>
      </c>
      <c r="L414" s="29">
        <f t="shared" si="7"/>
        <v>36.36</v>
      </c>
    </row>
    <row r="415" spans="2:12" x14ac:dyDescent="0.25">
      <c r="B415" s="27">
        <v>45277</v>
      </c>
      <c r="C415" s="28" t="s">
        <v>45</v>
      </c>
      <c r="D415" s="28">
        <v>2023</v>
      </c>
      <c r="E415" s="28" t="s">
        <v>14</v>
      </c>
      <c r="F415" s="28">
        <v>0</v>
      </c>
      <c r="G415" s="28" t="s">
        <v>111</v>
      </c>
      <c r="H415" s="28" t="s">
        <v>16</v>
      </c>
      <c r="I415" s="28" t="s">
        <v>16</v>
      </c>
      <c r="J415" s="28" t="s">
        <v>16</v>
      </c>
      <c r="K415" s="28" t="s">
        <v>75</v>
      </c>
      <c r="L415" s="29">
        <f t="shared" si="7"/>
        <v>0</v>
      </c>
    </row>
    <row r="416" spans="2:12" x14ac:dyDescent="0.25">
      <c r="B416" s="27">
        <v>45278</v>
      </c>
      <c r="C416" s="28" t="s">
        <v>45</v>
      </c>
      <c r="D416" s="28">
        <v>2023</v>
      </c>
      <c r="E416" s="28" t="s">
        <v>14</v>
      </c>
      <c r="F416" s="28">
        <v>24</v>
      </c>
      <c r="G416" s="28" t="s">
        <v>108</v>
      </c>
      <c r="H416" s="28" t="s">
        <v>16</v>
      </c>
      <c r="I416" s="28" t="s">
        <v>16</v>
      </c>
      <c r="J416" s="28" t="s">
        <v>16</v>
      </c>
      <c r="K416" s="28" t="s">
        <v>75</v>
      </c>
      <c r="L416" s="29">
        <f t="shared" si="7"/>
        <v>218.16</v>
      </c>
    </row>
    <row r="417" spans="2:22" x14ac:dyDescent="0.25">
      <c r="B417" s="27">
        <v>45278</v>
      </c>
      <c r="C417" s="28" t="s">
        <v>45</v>
      </c>
      <c r="D417" s="28">
        <v>2023</v>
      </c>
      <c r="E417" s="28" t="s">
        <v>15</v>
      </c>
      <c r="F417" s="28">
        <v>3</v>
      </c>
      <c r="G417" s="28" t="s">
        <v>111</v>
      </c>
      <c r="H417" s="28" t="s">
        <v>16</v>
      </c>
      <c r="I417" s="28" t="s">
        <v>16</v>
      </c>
      <c r="J417" s="28" t="s">
        <v>16</v>
      </c>
      <c r="K417" s="28" t="s">
        <v>83</v>
      </c>
      <c r="L417" s="29">
        <f t="shared" si="7"/>
        <v>27.27</v>
      </c>
    </row>
    <row r="418" spans="2:22" x14ac:dyDescent="0.25">
      <c r="B418" s="27">
        <v>45278</v>
      </c>
      <c r="C418" s="28" t="s">
        <v>45</v>
      </c>
      <c r="D418" s="28">
        <v>2023</v>
      </c>
      <c r="E418" s="28" t="s">
        <v>14</v>
      </c>
      <c r="F418" s="28">
        <v>26</v>
      </c>
      <c r="G418" s="28" t="s">
        <v>99</v>
      </c>
      <c r="H418" s="28" t="s">
        <v>16</v>
      </c>
      <c r="I418" s="28" t="s">
        <v>16</v>
      </c>
      <c r="J418" s="28" t="s">
        <v>16</v>
      </c>
      <c r="K418" s="28" t="s">
        <v>83</v>
      </c>
      <c r="L418" s="29">
        <f t="shared" si="7"/>
        <v>236.34</v>
      </c>
    </row>
    <row r="419" spans="2:22" x14ac:dyDescent="0.25">
      <c r="B419" s="27">
        <v>45278</v>
      </c>
      <c r="C419" s="28" t="s">
        <v>45</v>
      </c>
      <c r="D419" s="28">
        <v>2023</v>
      </c>
      <c r="E419" s="28" t="s">
        <v>15</v>
      </c>
      <c r="F419" s="28">
        <v>18</v>
      </c>
      <c r="G419" s="28" t="s">
        <v>97</v>
      </c>
      <c r="H419" s="28" t="s">
        <v>16</v>
      </c>
      <c r="I419" s="28" t="s">
        <v>16</v>
      </c>
      <c r="J419" s="28" t="s">
        <v>16</v>
      </c>
      <c r="K419" s="28" t="s">
        <v>83</v>
      </c>
      <c r="L419" s="29">
        <f t="shared" si="7"/>
        <v>163.62</v>
      </c>
    </row>
    <row r="420" spans="2:22" x14ac:dyDescent="0.25">
      <c r="B420" s="27">
        <v>45279</v>
      </c>
      <c r="C420" s="28" t="s">
        <v>45</v>
      </c>
      <c r="D420" s="28">
        <v>2023</v>
      </c>
      <c r="E420" s="28" t="s">
        <v>14</v>
      </c>
      <c r="F420" s="28">
        <v>3</v>
      </c>
      <c r="G420" s="28" t="s">
        <v>93</v>
      </c>
      <c r="H420" s="28" t="s">
        <v>16</v>
      </c>
      <c r="I420" s="28" t="s">
        <v>16</v>
      </c>
      <c r="J420" s="28" t="s">
        <v>16</v>
      </c>
      <c r="K420" s="28" t="s">
        <v>79</v>
      </c>
      <c r="L420" s="29">
        <f t="shared" si="7"/>
        <v>27.27</v>
      </c>
    </row>
    <row r="421" spans="2:22" x14ac:dyDescent="0.25">
      <c r="B421" s="27">
        <v>45281</v>
      </c>
      <c r="C421" s="28" t="s">
        <v>45</v>
      </c>
      <c r="D421" s="28">
        <v>2023</v>
      </c>
      <c r="E421" s="28" t="s">
        <v>15</v>
      </c>
      <c r="F421" s="28">
        <v>1</v>
      </c>
      <c r="G421" s="28" t="s">
        <v>111</v>
      </c>
      <c r="H421" s="28" t="s">
        <v>16</v>
      </c>
      <c r="I421" s="28" t="s">
        <v>16</v>
      </c>
      <c r="J421" s="28" t="s">
        <v>16</v>
      </c>
      <c r="K421" s="28" t="s">
        <v>78</v>
      </c>
      <c r="L421" s="29">
        <f t="shared" si="7"/>
        <v>9.09</v>
      </c>
    </row>
    <row r="422" spans="2:22" x14ac:dyDescent="0.25">
      <c r="B422" s="27">
        <v>45283</v>
      </c>
      <c r="C422" s="28" t="s">
        <v>45</v>
      </c>
      <c r="D422" s="28">
        <v>2023</v>
      </c>
      <c r="E422" s="28" t="s">
        <v>14</v>
      </c>
      <c r="F422" s="28">
        <v>26</v>
      </c>
      <c r="G422" s="28" t="s">
        <v>93</v>
      </c>
      <c r="H422" s="28" t="s">
        <v>16</v>
      </c>
      <c r="I422" s="28" t="s">
        <v>16</v>
      </c>
      <c r="J422" s="28" t="s">
        <v>16</v>
      </c>
      <c r="K422" s="28" t="s">
        <v>75</v>
      </c>
      <c r="L422" s="29">
        <f t="shared" si="7"/>
        <v>236.34</v>
      </c>
    </row>
    <row r="423" spans="2:22" x14ac:dyDescent="0.25">
      <c r="B423" s="27">
        <v>45286</v>
      </c>
      <c r="C423" s="28" t="s">
        <v>45</v>
      </c>
      <c r="D423" s="28">
        <v>2023</v>
      </c>
      <c r="E423" s="28" t="s">
        <v>14</v>
      </c>
      <c r="F423" s="28">
        <v>4</v>
      </c>
      <c r="G423" s="28" t="s">
        <v>93</v>
      </c>
      <c r="H423" s="28" t="s">
        <v>16</v>
      </c>
      <c r="I423" s="28" t="s">
        <v>16</v>
      </c>
      <c r="J423" s="28" t="s">
        <v>16</v>
      </c>
      <c r="K423" s="28" t="s">
        <v>78</v>
      </c>
      <c r="L423" s="29">
        <f t="shared" si="7"/>
        <v>36.36</v>
      </c>
    </row>
    <row r="424" spans="2:22" x14ac:dyDescent="0.25">
      <c r="B424" s="27">
        <v>45287</v>
      </c>
      <c r="C424" s="28" t="s">
        <v>45</v>
      </c>
      <c r="D424" s="28">
        <v>2023</v>
      </c>
      <c r="E424" s="28" t="s">
        <v>15</v>
      </c>
      <c r="F424" s="28">
        <v>5</v>
      </c>
      <c r="G424" s="28" t="s">
        <v>93</v>
      </c>
      <c r="H424" s="28" t="s">
        <v>16</v>
      </c>
      <c r="I424" s="28" t="s">
        <v>16</v>
      </c>
      <c r="J424" s="28" t="s">
        <v>16</v>
      </c>
      <c r="K424" s="28" t="s">
        <v>75</v>
      </c>
      <c r="L424" s="29">
        <f t="shared" si="7"/>
        <v>45.45</v>
      </c>
    </row>
    <row r="425" spans="2:22" x14ac:dyDescent="0.25">
      <c r="B425" s="27">
        <v>45287</v>
      </c>
      <c r="C425" s="28" t="s">
        <v>45</v>
      </c>
      <c r="D425" s="28">
        <v>2023</v>
      </c>
      <c r="E425" s="28" t="s">
        <v>15</v>
      </c>
      <c r="F425" s="28">
        <v>2</v>
      </c>
      <c r="G425" s="28" t="s">
        <v>91</v>
      </c>
      <c r="H425" s="28" t="s">
        <v>16</v>
      </c>
      <c r="I425" s="28" t="s">
        <v>16</v>
      </c>
      <c r="J425" s="28" t="s">
        <v>16</v>
      </c>
      <c r="K425" s="28" t="s">
        <v>75</v>
      </c>
      <c r="L425" s="29">
        <f t="shared" si="7"/>
        <v>18.18</v>
      </c>
    </row>
    <row r="426" spans="2:22" x14ac:dyDescent="0.25">
      <c r="B426" s="27">
        <v>45287</v>
      </c>
      <c r="C426" s="28" t="s">
        <v>45</v>
      </c>
      <c r="D426" s="28">
        <v>2023</v>
      </c>
      <c r="E426" s="28" t="s">
        <v>15</v>
      </c>
      <c r="F426" s="28">
        <v>2</v>
      </c>
      <c r="G426" s="28" t="s">
        <v>111</v>
      </c>
      <c r="H426" s="28" t="s">
        <v>16</v>
      </c>
      <c r="I426" s="28" t="s">
        <v>16</v>
      </c>
      <c r="J426" s="28" t="s">
        <v>16</v>
      </c>
      <c r="K426" s="28" t="s">
        <v>75</v>
      </c>
      <c r="L426" s="29">
        <f t="shared" si="7"/>
        <v>18.18</v>
      </c>
    </row>
    <row r="427" spans="2:22" x14ac:dyDescent="0.25">
      <c r="B427" s="27">
        <v>45289</v>
      </c>
      <c r="C427" s="28" t="s">
        <v>45</v>
      </c>
      <c r="D427" s="28">
        <v>2023</v>
      </c>
      <c r="E427" s="28" t="s">
        <v>15</v>
      </c>
      <c r="F427" s="28">
        <v>4</v>
      </c>
      <c r="G427" s="28" t="s">
        <v>111</v>
      </c>
      <c r="H427" s="28" t="s">
        <v>16</v>
      </c>
      <c r="I427" s="28" t="s">
        <v>16</v>
      </c>
      <c r="J427" s="28" t="s">
        <v>16</v>
      </c>
      <c r="K427" s="28" t="s">
        <v>83</v>
      </c>
      <c r="L427" s="29">
        <f t="shared" si="7"/>
        <v>36.36</v>
      </c>
    </row>
    <row r="428" spans="2:22" x14ac:dyDescent="0.25">
      <c r="B428" s="27">
        <v>45289</v>
      </c>
      <c r="C428" s="28" t="s">
        <v>45</v>
      </c>
      <c r="D428" s="28">
        <v>2023</v>
      </c>
      <c r="E428" s="28" t="s">
        <v>15</v>
      </c>
      <c r="F428" s="28">
        <v>2</v>
      </c>
      <c r="G428" s="28" t="s">
        <v>93</v>
      </c>
      <c r="H428" s="28" t="s">
        <v>16</v>
      </c>
      <c r="I428" s="28" t="s">
        <v>16</v>
      </c>
      <c r="J428" s="28" t="s">
        <v>16</v>
      </c>
      <c r="K428" s="28" t="s">
        <v>76</v>
      </c>
      <c r="L428" s="29">
        <f t="shared" si="7"/>
        <v>18.18</v>
      </c>
    </row>
    <row r="429" spans="2:22" x14ac:dyDescent="0.25">
      <c r="B429" s="27">
        <v>45284</v>
      </c>
      <c r="C429" s="28" t="s">
        <v>45</v>
      </c>
      <c r="D429" s="28">
        <v>2023</v>
      </c>
      <c r="E429" s="28" t="s">
        <v>15</v>
      </c>
      <c r="F429" s="28">
        <v>4</v>
      </c>
      <c r="G429" s="28" t="s">
        <v>99</v>
      </c>
      <c r="H429" s="28" t="s">
        <v>16</v>
      </c>
      <c r="I429" s="28" t="s">
        <v>16</v>
      </c>
      <c r="J429" s="28" t="s">
        <v>16</v>
      </c>
      <c r="K429" s="28" t="s">
        <v>75</v>
      </c>
      <c r="L429" s="29">
        <f t="shared" ref="L429:L492" si="8">F429*9.09</f>
        <v>36.36</v>
      </c>
      <c r="V429" s="3"/>
    </row>
    <row r="430" spans="2:22" x14ac:dyDescent="0.25">
      <c r="B430" s="27">
        <v>44928</v>
      </c>
      <c r="C430" s="28" t="s">
        <v>33</v>
      </c>
      <c r="D430" s="28">
        <v>2023</v>
      </c>
      <c r="E430" s="28" t="s">
        <v>15</v>
      </c>
      <c r="F430" s="28">
        <v>2</v>
      </c>
      <c r="G430" s="28" t="s">
        <v>108</v>
      </c>
      <c r="H430" s="28" t="s">
        <v>16</v>
      </c>
      <c r="I430" s="28" t="s">
        <v>16</v>
      </c>
      <c r="J430" s="28" t="s">
        <v>16</v>
      </c>
      <c r="K430" s="28" t="s">
        <v>75</v>
      </c>
      <c r="L430" s="29">
        <f t="shared" si="8"/>
        <v>18.18</v>
      </c>
    </row>
    <row r="431" spans="2:22" x14ac:dyDescent="0.25">
      <c r="B431" s="27">
        <v>44928</v>
      </c>
      <c r="C431" s="28" t="s">
        <v>33</v>
      </c>
      <c r="D431" s="28">
        <v>2023</v>
      </c>
      <c r="E431" s="28" t="s">
        <v>14</v>
      </c>
      <c r="F431" s="28">
        <v>1</v>
      </c>
      <c r="G431" s="28" t="s">
        <v>111</v>
      </c>
      <c r="H431" s="28" t="s">
        <v>16</v>
      </c>
      <c r="I431" s="28" t="s">
        <v>16</v>
      </c>
      <c r="J431" s="28" t="s">
        <v>16</v>
      </c>
      <c r="K431" s="28" t="s">
        <v>75</v>
      </c>
      <c r="L431" s="29">
        <f t="shared" si="8"/>
        <v>9.09</v>
      </c>
    </row>
    <row r="432" spans="2:22" x14ac:dyDescent="0.25">
      <c r="B432" s="27">
        <v>44928</v>
      </c>
      <c r="C432" s="28" t="s">
        <v>33</v>
      </c>
      <c r="D432" s="28">
        <v>2023</v>
      </c>
      <c r="E432" s="28" t="s">
        <v>14</v>
      </c>
      <c r="F432" s="28">
        <v>3</v>
      </c>
      <c r="G432" s="28" t="s">
        <v>111</v>
      </c>
      <c r="H432" s="28" t="s">
        <v>16</v>
      </c>
      <c r="I432" s="28" t="s">
        <v>16</v>
      </c>
      <c r="J432" s="28" t="s">
        <v>16</v>
      </c>
      <c r="K432" s="28" t="s">
        <v>75</v>
      </c>
      <c r="L432" s="29">
        <f t="shared" si="8"/>
        <v>27.27</v>
      </c>
    </row>
    <row r="433" spans="2:12" x14ac:dyDescent="0.25">
      <c r="B433" s="27">
        <v>44928</v>
      </c>
      <c r="C433" s="28" t="s">
        <v>33</v>
      </c>
      <c r="D433" s="28">
        <v>2023</v>
      </c>
      <c r="E433" s="28" t="s">
        <v>14</v>
      </c>
      <c r="F433" s="28">
        <v>1</v>
      </c>
      <c r="G433" s="28" t="s">
        <v>111</v>
      </c>
      <c r="H433" s="28" t="s">
        <v>16</v>
      </c>
      <c r="I433" s="28" t="s">
        <v>16</v>
      </c>
      <c r="J433" s="28" t="s">
        <v>16</v>
      </c>
      <c r="K433" s="28" t="s">
        <v>79</v>
      </c>
      <c r="L433" s="29">
        <f t="shared" si="8"/>
        <v>9.09</v>
      </c>
    </row>
    <row r="434" spans="2:12" x14ac:dyDescent="0.25">
      <c r="B434" s="27">
        <v>44929</v>
      </c>
      <c r="C434" s="28" t="s">
        <v>33</v>
      </c>
      <c r="D434" s="28">
        <v>2023</v>
      </c>
      <c r="E434" s="28" t="s">
        <v>14</v>
      </c>
      <c r="F434" s="28">
        <v>26</v>
      </c>
      <c r="G434" s="28" t="s">
        <v>93</v>
      </c>
      <c r="H434" s="28" t="s">
        <v>16</v>
      </c>
      <c r="I434" s="28" t="s">
        <v>16</v>
      </c>
      <c r="J434" s="28" t="s">
        <v>16</v>
      </c>
      <c r="K434" s="28" t="s">
        <v>79</v>
      </c>
      <c r="L434" s="29">
        <f t="shared" si="8"/>
        <v>236.34</v>
      </c>
    </row>
    <row r="435" spans="2:12" x14ac:dyDescent="0.25">
      <c r="B435" s="27">
        <v>44929</v>
      </c>
      <c r="C435" s="28" t="s">
        <v>33</v>
      </c>
      <c r="D435" s="28">
        <v>2023</v>
      </c>
      <c r="E435" s="28" t="s">
        <v>15</v>
      </c>
      <c r="F435" s="28">
        <v>8</v>
      </c>
      <c r="G435" s="28" t="s">
        <v>99</v>
      </c>
      <c r="H435" s="28" t="s">
        <v>16</v>
      </c>
      <c r="I435" s="28" t="s">
        <v>16</v>
      </c>
      <c r="J435" s="28" t="s">
        <v>16</v>
      </c>
      <c r="K435" s="28" t="s">
        <v>75</v>
      </c>
      <c r="L435" s="29">
        <f t="shared" si="8"/>
        <v>72.72</v>
      </c>
    </row>
    <row r="436" spans="2:12" x14ac:dyDescent="0.25">
      <c r="B436" s="27">
        <v>44929</v>
      </c>
      <c r="C436" s="28" t="s">
        <v>33</v>
      </c>
      <c r="D436" s="28">
        <v>2023</v>
      </c>
      <c r="E436" s="28" t="s">
        <v>14</v>
      </c>
      <c r="F436" s="28">
        <v>24</v>
      </c>
      <c r="G436" s="28" t="s">
        <v>93</v>
      </c>
      <c r="H436" s="28" t="s">
        <v>16</v>
      </c>
      <c r="I436" s="28" t="s">
        <v>16</v>
      </c>
      <c r="J436" s="28" t="s">
        <v>16</v>
      </c>
      <c r="K436" s="28" t="s">
        <v>75</v>
      </c>
      <c r="L436" s="29">
        <f t="shared" si="8"/>
        <v>218.16</v>
      </c>
    </row>
    <row r="437" spans="2:12" x14ac:dyDescent="0.25">
      <c r="B437" s="27">
        <v>44930</v>
      </c>
      <c r="C437" s="28" t="s">
        <v>33</v>
      </c>
      <c r="D437" s="28">
        <v>2023</v>
      </c>
      <c r="E437" s="28" t="s">
        <v>15</v>
      </c>
      <c r="F437" s="28">
        <v>2</v>
      </c>
      <c r="G437" s="28" t="s">
        <v>99</v>
      </c>
      <c r="H437" s="28" t="s">
        <v>16</v>
      </c>
      <c r="I437" s="28" t="s">
        <v>16</v>
      </c>
      <c r="J437" s="28" t="s">
        <v>16</v>
      </c>
      <c r="K437" s="28" t="s">
        <v>75</v>
      </c>
      <c r="L437" s="29">
        <f t="shared" si="8"/>
        <v>18.18</v>
      </c>
    </row>
    <row r="438" spans="2:12" x14ac:dyDescent="0.25">
      <c r="B438" s="27">
        <v>44930</v>
      </c>
      <c r="C438" s="28" t="s">
        <v>33</v>
      </c>
      <c r="D438" s="28">
        <v>2023</v>
      </c>
      <c r="E438" s="28" t="s">
        <v>15</v>
      </c>
      <c r="F438" s="28">
        <v>10</v>
      </c>
      <c r="G438" s="28" t="s">
        <v>97</v>
      </c>
      <c r="H438" s="28" t="s">
        <v>16</v>
      </c>
      <c r="I438" s="28" t="s">
        <v>16</v>
      </c>
      <c r="J438" s="28" t="s">
        <v>16</v>
      </c>
      <c r="K438" s="28" t="s">
        <v>76</v>
      </c>
      <c r="L438" s="29">
        <f t="shared" si="8"/>
        <v>90.9</v>
      </c>
    </row>
    <row r="439" spans="2:12" x14ac:dyDescent="0.25">
      <c r="B439" s="27">
        <v>44931</v>
      </c>
      <c r="C439" s="28" t="s">
        <v>33</v>
      </c>
      <c r="D439" s="28">
        <v>2023</v>
      </c>
      <c r="E439" s="28" t="s">
        <v>15</v>
      </c>
      <c r="F439" s="28">
        <v>3</v>
      </c>
      <c r="G439" s="28" t="s">
        <v>111</v>
      </c>
      <c r="H439" s="28" t="s">
        <v>16</v>
      </c>
      <c r="I439" s="28" t="s">
        <v>16</v>
      </c>
      <c r="J439" s="28" t="s">
        <v>16</v>
      </c>
      <c r="K439" s="28" t="s">
        <v>76</v>
      </c>
      <c r="L439" s="29">
        <f t="shared" si="8"/>
        <v>27.27</v>
      </c>
    </row>
    <row r="440" spans="2:12" x14ac:dyDescent="0.25">
      <c r="B440" s="27">
        <v>44931</v>
      </c>
      <c r="C440" s="28" t="s">
        <v>33</v>
      </c>
      <c r="D440" s="28">
        <v>2023</v>
      </c>
      <c r="E440" s="28" t="s">
        <v>15</v>
      </c>
      <c r="F440" s="28">
        <v>2</v>
      </c>
      <c r="G440" s="28" t="s">
        <v>111</v>
      </c>
      <c r="H440" s="28" t="s">
        <v>16</v>
      </c>
      <c r="I440" s="28" t="s">
        <v>16</v>
      </c>
      <c r="J440" s="28" t="s">
        <v>16</v>
      </c>
      <c r="K440" s="28" t="s">
        <v>75</v>
      </c>
      <c r="L440" s="29">
        <f t="shared" si="8"/>
        <v>18.18</v>
      </c>
    </row>
    <row r="441" spans="2:12" x14ac:dyDescent="0.25">
      <c r="B441" s="27">
        <v>44932</v>
      </c>
      <c r="C441" s="28" t="s">
        <v>33</v>
      </c>
      <c r="D441" s="28">
        <v>2023</v>
      </c>
      <c r="E441" s="28" t="s">
        <v>15</v>
      </c>
      <c r="F441" s="28">
        <v>7</v>
      </c>
      <c r="G441" s="28" t="s">
        <v>111</v>
      </c>
      <c r="H441" s="28" t="s">
        <v>16</v>
      </c>
      <c r="I441" s="28" t="s">
        <v>16</v>
      </c>
      <c r="J441" s="28" t="s">
        <v>16</v>
      </c>
      <c r="K441" s="28" t="s">
        <v>79</v>
      </c>
      <c r="L441" s="29">
        <f t="shared" si="8"/>
        <v>63.629999999999995</v>
      </c>
    </row>
    <row r="442" spans="2:12" x14ac:dyDescent="0.25">
      <c r="B442" s="27">
        <v>44932</v>
      </c>
      <c r="C442" s="28" t="s">
        <v>33</v>
      </c>
      <c r="D442" s="28">
        <v>2023</v>
      </c>
      <c r="E442" s="28" t="s">
        <v>14</v>
      </c>
      <c r="F442" s="28">
        <v>4</v>
      </c>
      <c r="G442" s="28" t="s">
        <v>97</v>
      </c>
      <c r="H442" s="28" t="s">
        <v>16</v>
      </c>
      <c r="I442" s="28" t="s">
        <v>16</v>
      </c>
      <c r="J442" s="28" t="s">
        <v>16</v>
      </c>
      <c r="K442" s="28" t="s">
        <v>79</v>
      </c>
      <c r="L442" s="29">
        <f t="shared" si="8"/>
        <v>36.36</v>
      </c>
    </row>
    <row r="443" spans="2:12" x14ac:dyDescent="0.25">
      <c r="B443" s="27">
        <v>44932</v>
      </c>
      <c r="C443" s="28" t="s">
        <v>33</v>
      </c>
      <c r="D443" s="28">
        <v>2023</v>
      </c>
      <c r="E443" s="28" t="s">
        <v>14</v>
      </c>
      <c r="F443" s="28">
        <v>26</v>
      </c>
      <c r="G443" s="28" t="s">
        <v>93</v>
      </c>
      <c r="H443" s="28" t="s">
        <v>16</v>
      </c>
      <c r="I443" s="28" t="s">
        <v>16</v>
      </c>
      <c r="J443" s="28" t="s">
        <v>16</v>
      </c>
      <c r="K443" s="28" t="s">
        <v>75</v>
      </c>
      <c r="L443" s="29">
        <f t="shared" si="8"/>
        <v>236.34</v>
      </c>
    </row>
    <row r="444" spans="2:12" x14ac:dyDescent="0.25">
      <c r="B444" s="27">
        <v>44932</v>
      </c>
      <c r="C444" s="28" t="s">
        <v>33</v>
      </c>
      <c r="D444" s="28">
        <v>2023</v>
      </c>
      <c r="E444" s="28" t="s">
        <v>15</v>
      </c>
      <c r="F444" s="28">
        <v>2</v>
      </c>
      <c r="G444" s="28" t="s">
        <v>111</v>
      </c>
      <c r="H444" s="28" t="s">
        <v>16</v>
      </c>
      <c r="I444" s="28" t="s">
        <v>16</v>
      </c>
      <c r="J444" s="28" t="s">
        <v>16</v>
      </c>
      <c r="K444" s="28" t="s">
        <v>75</v>
      </c>
      <c r="L444" s="29">
        <f t="shared" si="8"/>
        <v>18.18</v>
      </c>
    </row>
    <row r="445" spans="2:12" x14ac:dyDescent="0.25">
      <c r="B445" s="27">
        <v>44933</v>
      </c>
      <c r="C445" s="28" t="s">
        <v>33</v>
      </c>
      <c r="D445" s="28">
        <v>2023</v>
      </c>
      <c r="E445" s="28" t="s">
        <v>14</v>
      </c>
      <c r="F445" s="28">
        <v>2</v>
      </c>
      <c r="G445" s="28" t="s">
        <v>94</v>
      </c>
      <c r="H445" s="28" t="s">
        <v>16</v>
      </c>
      <c r="I445" s="28" t="s">
        <v>16</v>
      </c>
      <c r="J445" s="28" t="s">
        <v>16</v>
      </c>
      <c r="K445" s="28" t="s">
        <v>83</v>
      </c>
      <c r="L445" s="29">
        <f t="shared" si="8"/>
        <v>18.18</v>
      </c>
    </row>
    <row r="446" spans="2:12" x14ac:dyDescent="0.25">
      <c r="B446" s="27">
        <v>44933</v>
      </c>
      <c r="C446" s="28" t="s">
        <v>33</v>
      </c>
      <c r="D446" s="28">
        <v>2023</v>
      </c>
      <c r="E446" s="28" t="s">
        <v>15</v>
      </c>
      <c r="F446" s="28">
        <v>2</v>
      </c>
      <c r="G446" s="28" t="s">
        <v>93</v>
      </c>
      <c r="H446" s="28" t="s">
        <v>16</v>
      </c>
      <c r="I446" s="28" t="s">
        <v>16</v>
      </c>
      <c r="J446" s="28" t="s">
        <v>16</v>
      </c>
      <c r="K446" s="28" t="s">
        <v>83</v>
      </c>
      <c r="L446" s="29">
        <f t="shared" si="8"/>
        <v>18.18</v>
      </c>
    </row>
    <row r="447" spans="2:12" x14ac:dyDescent="0.25">
      <c r="B447" s="27">
        <v>44934</v>
      </c>
      <c r="C447" s="28" t="s">
        <v>33</v>
      </c>
      <c r="D447" s="28">
        <v>2023</v>
      </c>
      <c r="E447" s="28" t="s">
        <v>15</v>
      </c>
      <c r="F447" s="28">
        <v>10</v>
      </c>
      <c r="G447" s="28" t="s">
        <v>85</v>
      </c>
      <c r="H447" s="28" t="s">
        <v>16</v>
      </c>
      <c r="I447" s="28" t="s">
        <v>16</v>
      </c>
      <c r="J447" s="28" t="s">
        <v>16</v>
      </c>
      <c r="K447" s="28" t="s">
        <v>83</v>
      </c>
      <c r="L447" s="29">
        <f t="shared" si="8"/>
        <v>90.9</v>
      </c>
    </row>
    <row r="448" spans="2:12" x14ac:dyDescent="0.25">
      <c r="B448" s="27">
        <v>44936</v>
      </c>
      <c r="C448" s="28" t="s">
        <v>33</v>
      </c>
      <c r="D448" s="28">
        <v>2023</v>
      </c>
      <c r="E448" s="28" t="s">
        <v>15</v>
      </c>
      <c r="F448" s="28">
        <v>4</v>
      </c>
      <c r="G448" s="28" t="s">
        <v>111</v>
      </c>
      <c r="H448" s="28" t="s">
        <v>16</v>
      </c>
      <c r="I448" s="28" t="s">
        <v>16</v>
      </c>
      <c r="J448" s="28" t="s">
        <v>16</v>
      </c>
      <c r="K448" s="28" t="s">
        <v>75</v>
      </c>
      <c r="L448" s="29">
        <f t="shared" si="8"/>
        <v>36.36</v>
      </c>
    </row>
    <row r="449" spans="2:12" x14ac:dyDescent="0.25">
      <c r="B449" s="27">
        <v>44936</v>
      </c>
      <c r="C449" s="28" t="s">
        <v>33</v>
      </c>
      <c r="D449" s="28">
        <v>2023</v>
      </c>
      <c r="E449" s="28" t="s">
        <v>15</v>
      </c>
      <c r="F449" s="28">
        <v>2</v>
      </c>
      <c r="G449" s="28" t="s">
        <v>111</v>
      </c>
      <c r="H449" s="28" t="s">
        <v>16</v>
      </c>
      <c r="I449" s="28" t="s">
        <v>16</v>
      </c>
      <c r="J449" s="28" t="s">
        <v>16</v>
      </c>
      <c r="K449" s="28" t="s">
        <v>75</v>
      </c>
      <c r="L449" s="29">
        <f t="shared" si="8"/>
        <v>18.18</v>
      </c>
    </row>
    <row r="450" spans="2:12" x14ac:dyDescent="0.25">
      <c r="B450" s="27">
        <v>44939</v>
      </c>
      <c r="C450" s="28" t="s">
        <v>33</v>
      </c>
      <c r="D450" s="28">
        <v>2023</v>
      </c>
      <c r="E450" s="28" t="s">
        <v>14</v>
      </c>
      <c r="F450" s="28">
        <v>3</v>
      </c>
      <c r="G450" s="28" t="s">
        <v>93</v>
      </c>
      <c r="H450" s="28" t="s">
        <v>16</v>
      </c>
      <c r="I450" s="28" t="s">
        <v>16</v>
      </c>
      <c r="J450" s="28" t="s">
        <v>16</v>
      </c>
      <c r="K450" s="28" t="s">
        <v>78</v>
      </c>
      <c r="L450" s="29">
        <f t="shared" si="8"/>
        <v>27.27</v>
      </c>
    </row>
    <row r="451" spans="2:12" x14ac:dyDescent="0.25">
      <c r="B451" s="27">
        <v>44939</v>
      </c>
      <c r="C451" s="28" t="s">
        <v>33</v>
      </c>
      <c r="D451" s="28">
        <v>2023</v>
      </c>
      <c r="E451" s="28" t="s">
        <v>15</v>
      </c>
      <c r="F451" s="28">
        <v>5</v>
      </c>
      <c r="G451" s="28" t="s">
        <v>97</v>
      </c>
      <c r="H451" s="28" t="s">
        <v>16</v>
      </c>
      <c r="I451" s="28" t="s">
        <v>16</v>
      </c>
      <c r="J451" s="28" t="s">
        <v>16</v>
      </c>
      <c r="K451" s="28" t="s">
        <v>75</v>
      </c>
      <c r="L451" s="29">
        <f t="shared" si="8"/>
        <v>45.45</v>
      </c>
    </row>
    <row r="452" spans="2:12" x14ac:dyDescent="0.25">
      <c r="B452" s="27">
        <v>44942</v>
      </c>
      <c r="C452" s="28" t="s">
        <v>33</v>
      </c>
      <c r="D452" s="28">
        <v>2023</v>
      </c>
      <c r="E452" s="28" t="s">
        <v>14</v>
      </c>
      <c r="F452" s="28">
        <v>4</v>
      </c>
      <c r="G452" s="28" t="s">
        <v>93</v>
      </c>
      <c r="H452" s="28" t="s">
        <v>16</v>
      </c>
      <c r="I452" s="28" t="s">
        <v>16</v>
      </c>
      <c r="J452" s="28" t="s">
        <v>16</v>
      </c>
      <c r="K452" s="28" t="s">
        <v>83</v>
      </c>
      <c r="L452" s="29">
        <f t="shared" si="8"/>
        <v>36.36</v>
      </c>
    </row>
    <row r="453" spans="2:12" x14ac:dyDescent="0.25">
      <c r="B453" s="27">
        <v>44942</v>
      </c>
      <c r="C453" s="28" t="s">
        <v>33</v>
      </c>
      <c r="D453" s="28">
        <v>2023</v>
      </c>
      <c r="E453" s="28" t="s">
        <v>14</v>
      </c>
      <c r="F453" s="28">
        <v>4</v>
      </c>
      <c r="G453" s="28" t="s">
        <v>97</v>
      </c>
      <c r="H453" s="28" t="s">
        <v>16</v>
      </c>
      <c r="I453" s="28" t="s">
        <v>16</v>
      </c>
      <c r="J453" s="28" t="s">
        <v>16</v>
      </c>
      <c r="K453" s="28" t="s">
        <v>78</v>
      </c>
      <c r="L453" s="29">
        <f t="shared" si="8"/>
        <v>36.36</v>
      </c>
    </row>
    <row r="454" spans="2:12" x14ac:dyDescent="0.25">
      <c r="B454" s="27">
        <v>44942</v>
      </c>
      <c r="C454" s="28" t="s">
        <v>33</v>
      </c>
      <c r="D454" s="28">
        <v>2023</v>
      </c>
      <c r="E454" s="28" t="s">
        <v>14</v>
      </c>
      <c r="F454" s="28">
        <v>24</v>
      </c>
      <c r="G454" s="28" t="s">
        <v>97</v>
      </c>
      <c r="H454" s="28" t="s">
        <v>16</v>
      </c>
      <c r="I454" s="28" t="s">
        <v>16</v>
      </c>
      <c r="J454" s="28" t="s">
        <v>16</v>
      </c>
      <c r="K454" s="28" t="s">
        <v>73</v>
      </c>
      <c r="L454" s="29">
        <f t="shared" si="8"/>
        <v>218.16</v>
      </c>
    </row>
    <row r="455" spans="2:12" x14ac:dyDescent="0.25">
      <c r="B455" s="27">
        <v>44944</v>
      </c>
      <c r="C455" s="28" t="s">
        <v>33</v>
      </c>
      <c r="D455" s="28">
        <v>2023</v>
      </c>
      <c r="E455" s="28" t="s">
        <v>14</v>
      </c>
      <c r="F455" s="28">
        <v>26</v>
      </c>
      <c r="G455" s="28" t="s">
        <v>93</v>
      </c>
      <c r="H455" s="28" t="s">
        <v>16</v>
      </c>
      <c r="I455" s="28" t="s">
        <v>16</v>
      </c>
      <c r="J455" s="28" t="s">
        <v>16</v>
      </c>
      <c r="K455" s="28" t="s">
        <v>76</v>
      </c>
      <c r="L455" s="29">
        <f t="shared" si="8"/>
        <v>236.34</v>
      </c>
    </row>
    <row r="456" spans="2:12" x14ac:dyDescent="0.25">
      <c r="B456" s="27">
        <v>44944</v>
      </c>
      <c r="C456" s="28" t="s">
        <v>33</v>
      </c>
      <c r="D456" s="28">
        <v>2023</v>
      </c>
      <c r="E456" s="28" t="s">
        <v>15</v>
      </c>
      <c r="F456" s="28">
        <v>8</v>
      </c>
      <c r="G456" s="28" t="s">
        <v>93</v>
      </c>
      <c r="H456" s="28" t="s">
        <v>16</v>
      </c>
      <c r="I456" s="28" t="s">
        <v>16</v>
      </c>
      <c r="J456" s="28" t="s">
        <v>16</v>
      </c>
      <c r="K456" s="28" t="s">
        <v>76</v>
      </c>
      <c r="L456" s="29">
        <f t="shared" si="8"/>
        <v>72.72</v>
      </c>
    </row>
    <row r="457" spans="2:12" x14ac:dyDescent="0.25">
      <c r="B457" s="27">
        <v>44946</v>
      </c>
      <c r="C457" s="28" t="s">
        <v>33</v>
      </c>
      <c r="D457" s="28">
        <v>2023</v>
      </c>
      <c r="E457" s="28" t="s">
        <v>14</v>
      </c>
      <c r="F457" s="28">
        <v>3</v>
      </c>
      <c r="G457" s="28" t="s">
        <v>97</v>
      </c>
      <c r="H457" s="28" t="s">
        <v>16</v>
      </c>
      <c r="I457" s="28" t="s">
        <v>16</v>
      </c>
      <c r="J457" s="28" t="s">
        <v>16</v>
      </c>
      <c r="K457" s="28" t="s">
        <v>75</v>
      </c>
      <c r="L457" s="29">
        <f t="shared" si="8"/>
        <v>27.27</v>
      </c>
    </row>
    <row r="458" spans="2:12" x14ac:dyDescent="0.25">
      <c r="B458" s="27">
        <v>44946</v>
      </c>
      <c r="C458" s="28" t="s">
        <v>33</v>
      </c>
      <c r="D458" s="28">
        <v>2023</v>
      </c>
      <c r="E458" s="28" t="s">
        <v>14</v>
      </c>
      <c r="F458" s="28">
        <v>2</v>
      </c>
      <c r="G458" s="28" t="s">
        <v>93</v>
      </c>
      <c r="H458" s="28" t="s">
        <v>16</v>
      </c>
      <c r="I458" s="28" t="s">
        <v>16</v>
      </c>
      <c r="J458" s="28" t="s">
        <v>16</v>
      </c>
      <c r="K458" s="28" t="s">
        <v>75</v>
      </c>
      <c r="L458" s="29">
        <f t="shared" si="8"/>
        <v>18.18</v>
      </c>
    </row>
    <row r="459" spans="2:12" x14ac:dyDescent="0.25">
      <c r="B459" s="27">
        <v>44947</v>
      </c>
      <c r="C459" s="28" t="s">
        <v>33</v>
      </c>
      <c r="D459" s="28">
        <v>2023</v>
      </c>
      <c r="E459" s="28" t="s">
        <v>14</v>
      </c>
      <c r="F459" s="28">
        <v>12</v>
      </c>
      <c r="G459" s="28" t="s">
        <v>97</v>
      </c>
      <c r="H459" s="28" t="s">
        <v>16</v>
      </c>
      <c r="I459" s="28" t="s">
        <v>16</v>
      </c>
      <c r="J459" s="28" t="s">
        <v>16</v>
      </c>
      <c r="K459" s="28" t="s">
        <v>78</v>
      </c>
      <c r="L459" s="29">
        <f t="shared" si="8"/>
        <v>109.08</v>
      </c>
    </row>
    <row r="460" spans="2:12" x14ac:dyDescent="0.25">
      <c r="B460" s="27">
        <v>44947</v>
      </c>
      <c r="C460" s="28" t="s">
        <v>33</v>
      </c>
      <c r="D460" s="28">
        <v>2023</v>
      </c>
      <c r="E460" s="28" t="s">
        <v>15</v>
      </c>
      <c r="F460" s="28">
        <v>2</v>
      </c>
      <c r="G460" s="28" t="s">
        <v>108</v>
      </c>
      <c r="H460" s="28" t="s">
        <v>16</v>
      </c>
      <c r="I460" s="28" t="s">
        <v>16</v>
      </c>
      <c r="J460" s="28" t="s">
        <v>16</v>
      </c>
      <c r="K460" s="28" t="s">
        <v>78</v>
      </c>
      <c r="L460" s="29">
        <f t="shared" si="8"/>
        <v>18.18</v>
      </c>
    </row>
    <row r="461" spans="2:12" x14ac:dyDescent="0.25">
      <c r="B461" s="27">
        <v>44947</v>
      </c>
      <c r="C461" s="28" t="s">
        <v>33</v>
      </c>
      <c r="D461" s="28">
        <v>2023</v>
      </c>
      <c r="E461" s="28" t="s">
        <v>15</v>
      </c>
      <c r="F461" s="28">
        <v>3</v>
      </c>
      <c r="G461" s="28" t="s">
        <v>93</v>
      </c>
      <c r="H461" s="28" t="s">
        <v>16</v>
      </c>
      <c r="I461" s="28" t="s">
        <v>16</v>
      </c>
      <c r="J461" s="28" t="s">
        <v>16</v>
      </c>
      <c r="K461" s="28" t="s">
        <v>78</v>
      </c>
      <c r="L461" s="29">
        <f t="shared" si="8"/>
        <v>27.27</v>
      </c>
    </row>
    <row r="462" spans="2:12" x14ac:dyDescent="0.25">
      <c r="B462" s="27">
        <v>44948</v>
      </c>
      <c r="C462" s="28" t="s">
        <v>33</v>
      </c>
      <c r="D462" s="28">
        <v>2023</v>
      </c>
      <c r="E462" s="28" t="s">
        <v>15</v>
      </c>
      <c r="F462" s="28">
        <v>6</v>
      </c>
      <c r="G462" s="28" t="s">
        <v>85</v>
      </c>
      <c r="H462" s="28" t="s">
        <v>16</v>
      </c>
      <c r="I462" s="28" t="s">
        <v>16</v>
      </c>
      <c r="J462" s="28" t="s">
        <v>16</v>
      </c>
      <c r="K462" s="28" t="s">
        <v>78</v>
      </c>
      <c r="L462" s="29">
        <f t="shared" si="8"/>
        <v>54.54</v>
      </c>
    </row>
    <row r="463" spans="2:12" x14ac:dyDescent="0.25">
      <c r="B463" s="27">
        <v>44948</v>
      </c>
      <c r="C463" s="28" t="s">
        <v>33</v>
      </c>
      <c r="D463" s="28">
        <v>2023</v>
      </c>
      <c r="E463" s="28" t="s">
        <v>15</v>
      </c>
      <c r="F463" s="28">
        <v>4</v>
      </c>
      <c r="G463" s="28" t="s">
        <v>111</v>
      </c>
      <c r="H463" s="28" t="s">
        <v>16</v>
      </c>
      <c r="I463" s="28" t="s">
        <v>16</v>
      </c>
      <c r="J463" s="28" t="s">
        <v>16</v>
      </c>
      <c r="K463" s="28" t="s">
        <v>83</v>
      </c>
      <c r="L463" s="29">
        <f t="shared" si="8"/>
        <v>36.36</v>
      </c>
    </row>
    <row r="464" spans="2:12" x14ac:dyDescent="0.25">
      <c r="B464" s="27">
        <v>44948</v>
      </c>
      <c r="C464" s="28" t="s">
        <v>33</v>
      </c>
      <c r="D464" s="28">
        <v>2023</v>
      </c>
      <c r="E464" s="28" t="s">
        <v>15</v>
      </c>
      <c r="F464" s="28">
        <v>7</v>
      </c>
      <c r="G464" s="28" t="s">
        <v>97</v>
      </c>
      <c r="H464" s="28" t="s">
        <v>16</v>
      </c>
      <c r="I464" s="28" t="s">
        <v>16</v>
      </c>
      <c r="J464" s="28" t="s">
        <v>16</v>
      </c>
      <c r="K464" s="28" t="s">
        <v>83</v>
      </c>
      <c r="L464" s="29">
        <f t="shared" si="8"/>
        <v>63.629999999999995</v>
      </c>
    </row>
    <row r="465" spans="2:12" x14ac:dyDescent="0.25">
      <c r="B465" s="27">
        <v>44947</v>
      </c>
      <c r="C465" s="28" t="s">
        <v>33</v>
      </c>
      <c r="D465" s="28">
        <v>2023</v>
      </c>
      <c r="E465" s="28" t="s">
        <v>15</v>
      </c>
      <c r="F465" s="28">
        <v>4</v>
      </c>
      <c r="G465" s="28" t="s">
        <v>111</v>
      </c>
      <c r="H465" s="28" t="s">
        <v>16</v>
      </c>
      <c r="I465" s="28" t="s">
        <v>16</v>
      </c>
      <c r="J465" s="28" t="s">
        <v>16</v>
      </c>
      <c r="K465" s="28" t="s">
        <v>78</v>
      </c>
      <c r="L465" s="29">
        <f t="shared" si="8"/>
        <v>36.36</v>
      </c>
    </row>
    <row r="466" spans="2:12" x14ac:dyDescent="0.25">
      <c r="B466" s="27">
        <v>44950</v>
      </c>
      <c r="C466" s="28" t="s">
        <v>33</v>
      </c>
      <c r="D466" s="28">
        <v>2023</v>
      </c>
      <c r="E466" s="28" t="s">
        <v>15</v>
      </c>
      <c r="F466" s="28">
        <v>4</v>
      </c>
      <c r="G466" s="28" t="s">
        <v>111</v>
      </c>
      <c r="H466" s="28" t="s">
        <v>16</v>
      </c>
      <c r="I466" s="28" t="s">
        <v>16</v>
      </c>
      <c r="J466" s="28" t="s">
        <v>16</v>
      </c>
      <c r="K466" s="28" t="s">
        <v>79</v>
      </c>
      <c r="L466" s="29">
        <f t="shared" si="8"/>
        <v>36.36</v>
      </c>
    </row>
    <row r="467" spans="2:12" x14ac:dyDescent="0.25">
      <c r="B467" s="27">
        <v>44950</v>
      </c>
      <c r="C467" s="28" t="s">
        <v>33</v>
      </c>
      <c r="D467" s="28">
        <v>2023</v>
      </c>
      <c r="E467" s="28" t="s">
        <v>14</v>
      </c>
      <c r="F467" s="28">
        <v>4</v>
      </c>
      <c r="G467" s="28" t="s">
        <v>93</v>
      </c>
      <c r="H467" s="28" t="s">
        <v>16</v>
      </c>
      <c r="I467" s="28" t="s">
        <v>16</v>
      </c>
      <c r="J467" s="28" t="s">
        <v>16</v>
      </c>
      <c r="K467" s="28" t="s">
        <v>79</v>
      </c>
      <c r="L467" s="29">
        <f t="shared" si="8"/>
        <v>36.36</v>
      </c>
    </row>
    <row r="468" spans="2:12" x14ac:dyDescent="0.25">
      <c r="B468" s="27">
        <v>44961</v>
      </c>
      <c r="C468" s="28" t="s">
        <v>35</v>
      </c>
      <c r="D468" s="28">
        <v>2023</v>
      </c>
      <c r="E468" s="28" t="s">
        <v>14</v>
      </c>
      <c r="F468" s="28">
        <v>26</v>
      </c>
      <c r="G468" s="28" t="s">
        <v>93</v>
      </c>
      <c r="H468" s="28" t="s">
        <v>16</v>
      </c>
      <c r="I468" s="28" t="s">
        <v>16</v>
      </c>
      <c r="J468" s="28" t="s">
        <v>16</v>
      </c>
      <c r="K468" s="28" t="s">
        <v>75</v>
      </c>
      <c r="L468" s="29">
        <f t="shared" si="8"/>
        <v>236.34</v>
      </c>
    </row>
    <row r="469" spans="2:12" x14ac:dyDescent="0.25">
      <c r="B469" s="27">
        <v>44966</v>
      </c>
      <c r="C469" s="28" t="s">
        <v>35</v>
      </c>
      <c r="D469" s="28">
        <v>2023</v>
      </c>
      <c r="E469" s="28" t="s">
        <v>14</v>
      </c>
      <c r="F469" s="28">
        <v>26</v>
      </c>
      <c r="G469" s="28" t="s">
        <v>108</v>
      </c>
      <c r="H469" s="28" t="s">
        <v>16</v>
      </c>
      <c r="I469" s="28" t="s">
        <v>16</v>
      </c>
      <c r="J469" s="28" t="s">
        <v>16</v>
      </c>
      <c r="K469" s="28" t="s">
        <v>77</v>
      </c>
      <c r="L469" s="29">
        <f t="shared" si="8"/>
        <v>236.34</v>
      </c>
    </row>
    <row r="470" spans="2:12" x14ac:dyDescent="0.25">
      <c r="B470" s="27">
        <v>44966</v>
      </c>
      <c r="C470" s="28" t="s">
        <v>35</v>
      </c>
      <c r="D470" s="28">
        <v>2023</v>
      </c>
      <c r="E470" s="28" t="s">
        <v>14</v>
      </c>
      <c r="F470" s="28">
        <v>2</v>
      </c>
      <c r="G470" s="28" t="s">
        <v>111</v>
      </c>
      <c r="H470" s="28" t="s">
        <v>16</v>
      </c>
      <c r="I470" s="28" t="s">
        <v>16</v>
      </c>
      <c r="J470" s="28" t="s">
        <v>16</v>
      </c>
      <c r="K470" s="28" t="s">
        <v>75</v>
      </c>
      <c r="L470" s="29">
        <f t="shared" si="8"/>
        <v>18.18</v>
      </c>
    </row>
    <row r="471" spans="2:12" x14ac:dyDescent="0.25">
      <c r="B471" s="27">
        <v>44965</v>
      </c>
      <c r="C471" s="28" t="s">
        <v>35</v>
      </c>
      <c r="D471" s="28">
        <v>2023</v>
      </c>
      <c r="E471" s="28" t="s">
        <v>14</v>
      </c>
      <c r="F471" s="28">
        <v>26</v>
      </c>
      <c r="G471" s="28" t="s">
        <v>93</v>
      </c>
      <c r="H471" s="28" t="s">
        <v>16</v>
      </c>
      <c r="I471" s="28" t="s">
        <v>16</v>
      </c>
      <c r="J471" s="28" t="s">
        <v>16</v>
      </c>
      <c r="K471" s="28" t="s">
        <v>77</v>
      </c>
      <c r="L471" s="29">
        <f t="shared" si="8"/>
        <v>236.34</v>
      </c>
    </row>
    <row r="472" spans="2:12" x14ac:dyDescent="0.25">
      <c r="B472" s="27">
        <v>44967</v>
      </c>
      <c r="C472" s="28" t="s">
        <v>35</v>
      </c>
      <c r="D472" s="28">
        <v>2023</v>
      </c>
      <c r="E472" s="28" t="s">
        <v>15</v>
      </c>
      <c r="F472" s="28">
        <v>2</v>
      </c>
      <c r="G472" s="28" t="s">
        <v>93</v>
      </c>
      <c r="H472" s="28" t="s">
        <v>16</v>
      </c>
      <c r="I472" s="28" t="s">
        <v>16</v>
      </c>
      <c r="J472" s="28" t="s">
        <v>16</v>
      </c>
      <c r="K472" s="28" t="s">
        <v>73</v>
      </c>
      <c r="L472" s="29">
        <f t="shared" si="8"/>
        <v>18.18</v>
      </c>
    </row>
    <row r="473" spans="2:12" x14ac:dyDescent="0.25">
      <c r="B473" s="27">
        <v>44971</v>
      </c>
      <c r="C473" s="28" t="s">
        <v>35</v>
      </c>
      <c r="D473" s="28">
        <v>2023</v>
      </c>
      <c r="E473" s="28" t="s">
        <v>14</v>
      </c>
      <c r="F473" s="28">
        <v>16</v>
      </c>
      <c r="G473" s="28" t="s">
        <v>108</v>
      </c>
      <c r="H473" s="28" t="s">
        <v>16</v>
      </c>
      <c r="I473" s="28" t="s">
        <v>16</v>
      </c>
      <c r="J473" s="28" t="s">
        <v>16</v>
      </c>
      <c r="K473" s="28" t="s">
        <v>75</v>
      </c>
      <c r="L473" s="29">
        <f t="shared" si="8"/>
        <v>145.44</v>
      </c>
    </row>
    <row r="474" spans="2:12" x14ac:dyDescent="0.25">
      <c r="B474" s="27">
        <v>44971</v>
      </c>
      <c r="C474" s="28" t="s">
        <v>35</v>
      </c>
      <c r="D474" s="28">
        <v>2023</v>
      </c>
      <c r="E474" s="28" t="s">
        <v>15</v>
      </c>
      <c r="F474" s="28">
        <v>6</v>
      </c>
      <c r="G474" s="28" t="s">
        <v>97</v>
      </c>
      <c r="H474" s="28" t="s">
        <v>16</v>
      </c>
      <c r="I474" s="28" t="s">
        <v>16</v>
      </c>
      <c r="J474" s="28" t="s">
        <v>16</v>
      </c>
      <c r="K474" s="28" t="s">
        <v>83</v>
      </c>
      <c r="L474" s="29">
        <f t="shared" si="8"/>
        <v>54.54</v>
      </c>
    </row>
    <row r="475" spans="2:12" x14ac:dyDescent="0.25">
      <c r="B475" s="27">
        <v>44977</v>
      </c>
      <c r="C475" s="28" t="s">
        <v>35</v>
      </c>
      <c r="D475" s="28">
        <v>2023</v>
      </c>
      <c r="E475" s="28" t="s">
        <v>14</v>
      </c>
      <c r="F475" s="28">
        <v>26</v>
      </c>
      <c r="G475" s="28" t="s">
        <v>93</v>
      </c>
      <c r="H475" s="28" t="s">
        <v>16</v>
      </c>
      <c r="I475" s="28" t="s">
        <v>16</v>
      </c>
      <c r="J475" s="28" t="s">
        <v>16</v>
      </c>
      <c r="K475" s="28" t="s">
        <v>79</v>
      </c>
      <c r="L475" s="29">
        <f t="shared" si="8"/>
        <v>236.34</v>
      </c>
    </row>
    <row r="476" spans="2:12" x14ac:dyDescent="0.25">
      <c r="B476" s="27">
        <v>44976</v>
      </c>
      <c r="C476" s="28" t="s">
        <v>35</v>
      </c>
      <c r="D476" s="28">
        <v>2023</v>
      </c>
      <c r="E476" s="28" t="s">
        <v>14</v>
      </c>
      <c r="F476" s="28">
        <v>6</v>
      </c>
      <c r="G476" s="28" t="s">
        <v>111</v>
      </c>
      <c r="H476" s="28" t="s">
        <v>16</v>
      </c>
      <c r="I476" s="28" t="s">
        <v>16</v>
      </c>
      <c r="J476" s="28" t="s">
        <v>16</v>
      </c>
      <c r="K476" s="28" t="s">
        <v>75</v>
      </c>
      <c r="L476" s="29">
        <f t="shared" si="8"/>
        <v>54.54</v>
      </c>
    </row>
    <row r="477" spans="2:12" x14ac:dyDescent="0.25">
      <c r="B477" s="27">
        <v>44977</v>
      </c>
      <c r="C477" s="28" t="s">
        <v>35</v>
      </c>
      <c r="D477" s="28">
        <v>2023</v>
      </c>
      <c r="E477" s="28" t="s">
        <v>14</v>
      </c>
      <c r="F477" s="28">
        <v>3</v>
      </c>
      <c r="G477" s="28" t="s">
        <v>93</v>
      </c>
      <c r="H477" s="28" t="s">
        <v>16</v>
      </c>
      <c r="I477" s="28" t="s">
        <v>16</v>
      </c>
      <c r="J477" s="28" t="s">
        <v>16</v>
      </c>
      <c r="K477" s="28" t="s">
        <v>79</v>
      </c>
      <c r="L477" s="29">
        <f t="shared" si="8"/>
        <v>27.27</v>
      </c>
    </row>
    <row r="478" spans="2:12" x14ac:dyDescent="0.25">
      <c r="B478" s="27">
        <v>44978</v>
      </c>
      <c r="C478" s="28" t="s">
        <v>35</v>
      </c>
      <c r="D478" s="28">
        <v>2023</v>
      </c>
      <c r="E478" s="28" t="s">
        <v>14</v>
      </c>
      <c r="F478" s="28">
        <v>16</v>
      </c>
      <c r="G478" s="28" t="s">
        <v>108</v>
      </c>
      <c r="H478" s="28" t="s">
        <v>16</v>
      </c>
      <c r="I478" s="28" t="s">
        <v>16</v>
      </c>
      <c r="J478" s="28" t="s">
        <v>16</v>
      </c>
      <c r="K478" s="28" t="s">
        <v>79</v>
      </c>
      <c r="L478" s="29">
        <f t="shared" si="8"/>
        <v>145.44</v>
      </c>
    </row>
    <row r="479" spans="2:12" x14ac:dyDescent="0.25">
      <c r="B479" s="27">
        <v>44983</v>
      </c>
      <c r="C479" s="28" t="s">
        <v>35</v>
      </c>
      <c r="D479" s="28">
        <v>2023</v>
      </c>
      <c r="E479" s="28" t="s">
        <v>15</v>
      </c>
      <c r="F479" s="28">
        <v>5</v>
      </c>
      <c r="G479" s="28" t="s">
        <v>108</v>
      </c>
      <c r="H479" s="28" t="s">
        <v>16</v>
      </c>
      <c r="I479" s="28" t="s">
        <v>16</v>
      </c>
      <c r="J479" s="28" t="s">
        <v>16</v>
      </c>
      <c r="K479" s="28" t="s">
        <v>75</v>
      </c>
      <c r="L479" s="29">
        <f t="shared" si="8"/>
        <v>45.45</v>
      </c>
    </row>
    <row r="480" spans="2:12" x14ac:dyDescent="0.25">
      <c r="B480" s="27">
        <v>44983</v>
      </c>
      <c r="C480" s="28" t="s">
        <v>35</v>
      </c>
      <c r="D480" s="28">
        <v>2023</v>
      </c>
      <c r="E480" s="28" t="s">
        <v>14</v>
      </c>
      <c r="F480" s="28">
        <v>26</v>
      </c>
      <c r="G480" s="28" t="s">
        <v>93</v>
      </c>
      <c r="H480" s="28" t="s">
        <v>16</v>
      </c>
      <c r="I480" s="28" t="s">
        <v>16</v>
      </c>
      <c r="J480" s="28" t="s">
        <v>16</v>
      </c>
      <c r="K480" s="28" t="s">
        <v>78</v>
      </c>
      <c r="L480" s="29">
        <f t="shared" si="8"/>
        <v>236.34</v>
      </c>
    </row>
    <row r="481" spans="2:12" x14ac:dyDescent="0.25">
      <c r="B481" s="27">
        <v>44982</v>
      </c>
      <c r="C481" s="28" t="s">
        <v>35</v>
      </c>
      <c r="D481" s="28">
        <v>2023</v>
      </c>
      <c r="E481" s="28" t="s">
        <v>15</v>
      </c>
      <c r="F481" s="28">
        <v>5</v>
      </c>
      <c r="G481" s="28" t="s">
        <v>98</v>
      </c>
      <c r="H481" s="28" t="s">
        <v>16</v>
      </c>
      <c r="I481" s="28" t="s">
        <v>16</v>
      </c>
      <c r="J481" s="28" t="s">
        <v>16</v>
      </c>
      <c r="K481" s="28" t="s">
        <v>79</v>
      </c>
      <c r="L481" s="29">
        <f t="shared" si="8"/>
        <v>45.45</v>
      </c>
    </row>
    <row r="482" spans="2:12" x14ac:dyDescent="0.25">
      <c r="B482" s="27">
        <v>44982</v>
      </c>
      <c r="C482" s="28" t="s">
        <v>35</v>
      </c>
      <c r="D482" s="28">
        <v>2023</v>
      </c>
      <c r="E482" s="28" t="s">
        <v>15</v>
      </c>
      <c r="F482" s="28">
        <v>1</v>
      </c>
      <c r="G482" s="28" t="s">
        <v>99</v>
      </c>
      <c r="H482" s="28" t="s">
        <v>16</v>
      </c>
      <c r="I482" s="28" t="s">
        <v>16</v>
      </c>
      <c r="J482" s="28" t="s">
        <v>16</v>
      </c>
      <c r="K482" s="28" t="s">
        <v>78</v>
      </c>
      <c r="L482" s="29">
        <f t="shared" si="8"/>
        <v>9.09</v>
      </c>
    </row>
    <row r="483" spans="2:12" x14ac:dyDescent="0.25">
      <c r="B483" s="27">
        <v>44978</v>
      </c>
      <c r="C483" s="28" t="s">
        <v>35</v>
      </c>
      <c r="D483" s="28">
        <v>2023</v>
      </c>
      <c r="E483" s="28" t="s">
        <v>14</v>
      </c>
      <c r="F483" s="28">
        <v>10</v>
      </c>
      <c r="G483" s="28" t="s">
        <v>99</v>
      </c>
      <c r="H483" s="28" t="s">
        <v>16</v>
      </c>
      <c r="I483" s="28" t="s">
        <v>16</v>
      </c>
      <c r="J483" s="28" t="s">
        <v>16</v>
      </c>
      <c r="K483" s="28" t="s">
        <v>75</v>
      </c>
      <c r="L483" s="29">
        <f t="shared" si="8"/>
        <v>90.9</v>
      </c>
    </row>
    <row r="484" spans="2:12" x14ac:dyDescent="0.25">
      <c r="B484" s="27">
        <v>44980</v>
      </c>
      <c r="C484" s="28" t="s">
        <v>35</v>
      </c>
      <c r="D484" s="28">
        <v>2023</v>
      </c>
      <c r="E484" s="28" t="s">
        <v>14</v>
      </c>
      <c r="F484" s="28">
        <v>6</v>
      </c>
      <c r="G484" s="28" t="s">
        <v>99</v>
      </c>
      <c r="H484" s="28" t="s">
        <v>16</v>
      </c>
      <c r="I484" s="28" t="s">
        <v>16</v>
      </c>
      <c r="J484" s="28" t="s">
        <v>16</v>
      </c>
      <c r="K484" s="28" t="s">
        <v>78</v>
      </c>
      <c r="L484" s="29">
        <f t="shared" si="8"/>
        <v>54.54</v>
      </c>
    </row>
    <row r="485" spans="2:12" x14ac:dyDescent="0.25">
      <c r="B485" s="27">
        <v>44979</v>
      </c>
      <c r="C485" s="28" t="s">
        <v>35</v>
      </c>
      <c r="D485" s="28">
        <v>2023</v>
      </c>
      <c r="E485" s="28" t="s">
        <v>14</v>
      </c>
      <c r="F485" s="28">
        <v>26</v>
      </c>
      <c r="G485" s="28" t="s">
        <v>93</v>
      </c>
      <c r="H485" s="28" t="s">
        <v>16</v>
      </c>
      <c r="I485" s="28" t="s">
        <v>16</v>
      </c>
      <c r="J485" s="28" t="s">
        <v>16</v>
      </c>
      <c r="K485" s="28" t="s">
        <v>83</v>
      </c>
      <c r="L485" s="29">
        <f t="shared" si="8"/>
        <v>236.34</v>
      </c>
    </row>
    <row r="486" spans="2:12" x14ac:dyDescent="0.25">
      <c r="B486" s="27">
        <v>44976</v>
      </c>
      <c r="C486" s="28" t="s">
        <v>35</v>
      </c>
      <c r="D486" s="28">
        <v>2023</v>
      </c>
      <c r="E486" s="28" t="s">
        <v>15</v>
      </c>
      <c r="F486" s="28">
        <v>5</v>
      </c>
      <c r="G486" s="28" t="s">
        <v>99</v>
      </c>
      <c r="H486" s="28" t="s">
        <v>16</v>
      </c>
      <c r="I486" s="28" t="s">
        <v>16</v>
      </c>
      <c r="J486" s="28" t="s">
        <v>16</v>
      </c>
      <c r="K486" s="28" t="s">
        <v>75</v>
      </c>
      <c r="L486" s="29">
        <f t="shared" si="8"/>
        <v>45.45</v>
      </c>
    </row>
    <row r="487" spans="2:12" x14ac:dyDescent="0.25">
      <c r="B487" s="27">
        <v>44979</v>
      </c>
      <c r="C487" s="28" t="s">
        <v>35</v>
      </c>
      <c r="D487" s="28">
        <v>2023</v>
      </c>
      <c r="E487" s="28" t="s">
        <v>14</v>
      </c>
      <c r="F487" s="28">
        <v>28</v>
      </c>
      <c r="G487" s="28" t="s">
        <v>93</v>
      </c>
      <c r="H487" s="28" t="s">
        <v>16</v>
      </c>
      <c r="I487" s="28" t="s">
        <v>16</v>
      </c>
      <c r="J487" s="28" t="s">
        <v>16</v>
      </c>
      <c r="K487" s="28" t="s">
        <v>76</v>
      </c>
      <c r="L487" s="29">
        <f t="shared" si="8"/>
        <v>254.51999999999998</v>
      </c>
    </row>
    <row r="488" spans="2:12" x14ac:dyDescent="0.25">
      <c r="B488" s="27">
        <v>44984</v>
      </c>
      <c r="C488" s="28" t="s">
        <v>35</v>
      </c>
      <c r="D488" s="28">
        <v>2023</v>
      </c>
      <c r="E488" s="28" t="s">
        <v>14</v>
      </c>
      <c r="F488" s="28">
        <v>28</v>
      </c>
      <c r="G488" s="28" t="s">
        <v>99</v>
      </c>
      <c r="H488" s="28" t="s">
        <v>16</v>
      </c>
      <c r="I488" s="28" t="s">
        <v>16</v>
      </c>
      <c r="J488" s="28" t="s">
        <v>16</v>
      </c>
      <c r="K488" s="28" t="s">
        <v>76</v>
      </c>
      <c r="L488" s="29">
        <f t="shared" si="8"/>
        <v>254.51999999999998</v>
      </c>
    </row>
    <row r="489" spans="2:12" x14ac:dyDescent="0.25">
      <c r="B489" s="27">
        <v>44984</v>
      </c>
      <c r="C489" s="28" t="s">
        <v>35</v>
      </c>
      <c r="D489" s="28">
        <v>2023</v>
      </c>
      <c r="E489" s="28" t="s">
        <v>15</v>
      </c>
      <c r="F489" s="28">
        <v>4</v>
      </c>
      <c r="G489" s="28" t="s">
        <v>97</v>
      </c>
      <c r="H489" s="28" t="s">
        <v>16</v>
      </c>
      <c r="I489" s="28" t="s">
        <v>16</v>
      </c>
      <c r="J489" s="28" t="s">
        <v>16</v>
      </c>
      <c r="K489" s="28" t="s">
        <v>76</v>
      </c>
      <c r="L489" s="29">
        <f t="shared" si="8"/>
        <v>36.36</v>
      </c>
    </row>
    <row r="490" spans="2:12" x14ac:dyDescent="0.25">
      <c r="B490" s="27">
        <v>44984</v>
      </c>
      <c r="C490" s="28" t="s">
        <v>35</v>
      </c>
      <c r="D490" s="28">
        <v>2023</v>
      </c>
      <c r="E490" s="28" t="s">
        <v>14</v>
      </c>
      <c r="F490" s="28">
        <v>28</v>
      </c>
      <c r="G490" s="28" t="s">
        <v>93</v>
      </c>
      <c r="H490" s="28" t="s">
        <v>16</v>
      </c>
      <c r="I490" s="28" t="s">
        <v>16</v>
      </c>
      <c r="J490" s="28" t="s">
        <v>16</v>
      </c>
      <c r="K490" s="28" t="s">
        <v>76</v>
      </c>
      <c r="L490" s="29">
        <f t="shared" si="8"/>
        <v>254.51999999999998</v>
      </c>
    </row>
    <row r="491" spans="2:12" x14ac:dyDescent="0.25">
      <c r="B491" s="27">
        <v>44984</v>
      </c>
      <c r="C491" s="28" t="s">
        <v>35</v>
      </c>
      <c r="D491" s="28">
        <v>2023</v>
      </c>
      <c r="E491" s="28" t="s">
        <v>14</v>
      </c>
      <c r="F491" s="28">
        <v>28</v>
      </c>
      <c r="G491" s="28" t="s">
        <v>93</v>
      </c>
      <c r="H491" s="28" t="s">
        <v>16</v>
      </c>
      <c r="I491" s="28" t="s">
        <v>16</v>
      </c>
      <c r="J491" s="28" t="s">
        <v>16</v>
      </c>
      <c r="K491" s="28" t="s">
        <v>76</v>
      </c>
      <c r="L491" s="29">
        <f t="shared" si="8"/>
        <v>254.51999999999998</v>
      </c>
    </row>
    <row r="492" spans="2:12" x14ac:dyDescent="0.25">
      <c r="B492" s="27">
        <v>44984</v>
      </c>
      <c r="C492" s="28" t="s">
        <v>35</v>
      </c>
      <c r="D492" s="28">
        <v>2023</v>
      </c>
      <c r="E492" s="28" t="s">
        <v>14</v>
      </c>
      <c r="F492" s="28">
        <v>26</v>
      </c>
      <c r="G492" s="28" t="s">
        <v>108</v>
      </c>
      <c r="H492" s="28" t="s">
        <v>16</v>
      </c>
      <c r="I492" s="28" t="s">
        <v>16</v>
      </c>
      <c r="J492" s="28" t="s">
        <v>16</v>
      </c>
      <c r="K492" s="28" t="s">
        <v>78</v>
      </c>
      <c r="L492" s="29">
        <f t="shared" si="8"/>
        <v>236.34</v>
      </c>
    </row>
    <row r="493" spans="2:12" x14ac:dyDescent="0.25">
      <c r="B493" s="27">
        <v>44985</v>
      </c>
      <c r="C493" s="28" t="s">
        <v>35</v>
      </c>
      <c r="D493" s="28">
        <v>2023</v>
      </c>
      <c r="E493" s="28" t="s">
        <v>14</v>
      </c>
      <c r="F493" s="28">
        <v>26</v>
      </c>
      <c r="G493" s="28" t="s">
        <v>93</v>
      </c>
      <c r="H493" s="28" t="s">
        <v>16</v>
      </c>
      <c r="I493" s="28" t="s">
        <v>16</v>
      </c>
      <c r="J493" s="28" t="s">
        <v>16</v>
      </c>
      <c r="K493" s="28" t="s">
        <v>79</v>
      </c>
      <c r="L493" s="29">
        <f t="shared" ref="L493:L557" si="9">F493*9.09</f>
        <v>236.34</v>
      </c>
    </row>
    <row r="494" spans="2:12" x14ac:dyDescent="0.25">
      <c r="B494" s="27">
        <v>44985</v>
      </c>
      <c r="C494" s="28" t="s">
        <v>35</v>
      </c>
      <c r="D494" s="28">
        <v>2023</v>
      </c>
      <c r="E494" s="28" t="s">
        <v>14</v>
      </c>
      <c r="F494" s="28">
        <v>26</v>
      </c>
      <c r="G494" s="28" t="s">
        <v>93</v>
      </c>
      <c r="H494" s="28" t="s">
        <v>16</v>
      </c>
      <c r="I494" s="28" t="s">
        <v>16</v>
      </c>
      <c r="J494" s="28" t="s">
        <v>16</v>
      </c>
      <c r="K494" s="28" t="s">
        <v>79</v>
      </c>
      <c r="L494" s="29">
        <f t="shared" si="9"/>
        <v>236.34</v>
      </c>
    </row>
    <row r="495" spans="2:12" x14ac:dyDescent="0.25">
      <c r="B495" s="27">
        <v>44985</v>
      </c>
      <c r="C495" s="28" t="s">
        <v>35</v>
      </c>
      <c r="D495" s="28">
        <v>2023</v>
      </c>
      <c r="E495" s="28" t="s">
        <v>14</v>
      </c>
      <c r="F495" s="28">
        <v>5</v>
      </c>
      <c r="G495" s="28" t="s">
        <v>93</v>
      </c>
      <c r="H495" s="28" t="s">
        <v>16</v>
      </c>
      <c r="I495" s="28" t="s">
        <v>16</v>
      </c>
      <c r="J495" s="28" t="s">
        <v>16</v>
      </c>
      <c r="K495" s="28" t="s">
        <v>76</v>
      </c>
      <c r="L495" s="29">
        <f t="shared" si="9"/>
        <v>45.45</v>
      </c>
    </row>
    <row r="496" spans="2:12" x14ac:dyDescent="0.25">
      <c r="B496" s="27" t="s">
        <v>113</v>
      </c>
      <c r="C496" s="28" t="s">
        <v>35</v>
      </c>
      <c r="D496" s="28">
        <v>2023</v>
      </c>
      <c r="E496" s="28" t="s">
        <v>14</v>
      </c>
      <c r="F496" s="28">
        <v>2</v>
      </c>
      <c r="G496" s="28" t="s">
        <v>93</v>
      </c>
      <c r="H496" s="28" t="s">
        <v>16</v>
      </c>
      <c r="I496" s="28" t="s">
        <v>16</v>
      </c>
      <c r="J496" s="28" t="s">
        <v>16</v>
      </c>
      <c r="K496" s="28" t="s">
        <v>76</v>
      </c>
      <c r="L496" s="29">
        <f t="shared" si="9"/>
        <v>18.18</v>
      </c>
    </row>
    <row r="497" spans="2:12" x14ac:dyDescent="0.25">
      <c r="B497" s="27">
        <v>44985</v>
      </c>
      <c r="C497" s="28" t="s">
        <v>35</v>
      </c>
      <c r="D497" s="28">
        <v>2023</v>
      </c>
      <c r="E497" s="28" t="s">
        <v>15</v>
      </c>
      <c r="F497" s="28">
        <v>4</v>
      </c>
      <c r="G497" s="28" t="s">
        <v>93</v>
      </c>
      <c r="H497" s="28" t="s">
        <v>16</v>
      </c>
      <c r="I497" s="28" t="s">
        <v>16</v>
      </c>
      <c r="J497" s="28" t="s">
        <v>16</v>
      </c>
      <c r="K497" s="28" t="s">
        <v>79</v>
      </c>
      <c r="L497" s="29">
        <f t="shared" si="9"/>
        <v>36.36</v>
      </c>
    </row>
    <row r="498" spans="2:12" x14ac:dyDescent="0.25">
      <c r="B498" s="27" t="s">
        <v>113</v>
      </c>
      <c r="C498" s="28" t="s">
        <v>35</v>
      </c>
      <c r="D498" s="28">
        <v>2023</v>
      </c>
      <c r="E498" s="28" t="s">
        <v>15</v>
      </c>
      <c r="F498" s="28">
        <v>10</v>
      </c>
      <c r="G498" s="28" t="s">
        <v>111</v>
      </c>
      <c r="H498" s="28" t="s">
        <v>16</v>
      </c>
      <c r="I498" s="28" t="s">
        <v>16</v>
      </c>
      <c r="J498" s="28" t="s">
        <v>16</v>
      </c>
      <c r="K498" s="28" t="s">
        <v>76</v>
      </c>
      <c r="L498" s="29">
        <f t="shared" si="9"/>
        <v>90.9</v>
      </c>
    </row>
    <row r="499" spans="2:12" x14ac:dyDescent="0.25">
      <c r="B499" s="27" t="s">
        <v>113</v>
      </c>
      <c r="C499" s="28" t="s">
        <v>35</v>
      </c>
      <c r="D499" s="28">
        <v>2023</v>
      </c>
      <c r="E499" s="28" t="s">
        <v>14</v>
      </c>
      <c r="F499" s="28">
        <v>13</v>
      </c>
      <c r="G499" s="28" t="s">
        <v>93</v>
      </c>
      <c r="H499" s="28" t="s">
        <v>16</v>
      </c>
      <c r="I499" s="28" t="s">
        <v>16</v>
      </c>
      <c r="J499" s="28" t="s">
        <v>16</v>
      </c>
      <c r="K499" s="28" t="s">
        <v>78</v>
      </c>
      <c r="L499" s="29">
        <f t="shared" si="9"/>
        <v>118.17</v>
      </c>
    </row>
    <row r="500" spans="2:12" x14ac:dyDescent="0.25">
      <c r="B500" s="27" t="s">
        <v>113</v>
      </c>
      <c r="C500" s="28" t="s">
        <v>35</v>
      </c>
      <c r="D500" s="28">
        <v>2023</v>
      </c>
      <c r="E500" s="28" t="s">
        <v>14</v>
      </c>
      <c r="F500" s="28">
        <v>4</v>
      </c>
      <c r="G500" s="28" t="s">
        <v>97</v>
      </c>
      <c r="H500" s="28" t="s">
        <v>16</v>
      </c>
      <c r="I500" s="28" t="s">
        <v>16</v>
      </c>
      <c r="J500" s="28" t="s">
        <v>16</v>
      </c>
      <c r="K500" s="28" t="s">
        <v>76</v>
      </c>
      <c r="L500" s="29">
        <f t="shared" si="9"/>
        <v>36.36</v>
      </c>
    </row>
    <row r="501" spans="2:12" x14ac:dyDescent="0.25">
      <c r="B501" s="27" t="s">
        <v>113</v>
      </c>
      <c r="C501" s="28" t="s">
        <v>35</v>
      </c>
      <c r="D501" s="28">
        <v>2023</v>
      </c>
      <c r="E501" s="28" t="s">
        <v>14</v>
      </c>
      <c r="F501" s="28">
        <v>4</v>
      </c>
      <c r="G501" s="28" t="s">
        <v>93</v>
      </c>
      <c r="H501" s="28" t="s">
        <v>16</v>
      </c>
      <c r="I501" s="28" t="s">
        <v>16</v>
      </c>
      <c r="J501" s="28" t="s">
        <v>16</v>
      </c>
      <c r="K501" s="28" t="s">
        <v>78</v>
      </c>
      <c r="L501" s="29">
        <f t="shared" si="9"/>
        <v>36.36</v>
      </c>
    </row>
    <row r="502" spans="2:12" x14ac:dyDescent="0.25">
      <c r="B502" s="27">
        <v>44987</v>
      </c>
      <c r="C502" s="28" t="s">
        <v>36</v>
      </c>
      <c r="D502" s="28">
        <v>2023</v>
      </c>
      <c r="E502" s="28" t="s">
        <v>14</v>
      </c>
      <c r="F502" s="28">
        <v>6</v>
      </c>
      <c r="G502" s="28" t="s">
        <v>93</v>
      </c>
      <c r="H502" s="28" t="s">
        <v>16</v>
      </c>
      <c r="I502" s="28" t="s">
        <v>16</v>
      </c>
      <c r="J502" s="28" t="s">
        <v>16</v>
      </c>
      <c r="K502" s="28" t="s">
        <v>83</v>
      </c>
      <c r="L502" s="29">
        <f t="shared" si="9"/>
        <v>54.54</v>
      </c>
    </row>
    <row r="503" spans="2:12" x14ac:dyDescent="0.25">
      <c r="B503" s="27">
        <v>44987</v>
      </c>
      <c r="C503" s="28" t="s">
        <v>36</v>
      </c>
      <c r="D503" s="28">
        <v>2023</v>
      </c>
      <c r="E503" s="28" t="s">
        <v>14</v>
      </c>
      <c r="F503" s="28">
        <v>18</v>
      </c>
      <c r="G503" s="28" t="s">
        <v>93</v>
      </c>
      <c r="H503" s="28" t="s">
        <v>16</v>
      </c>
      <c r="I503" s="28" t="s">
        <v>16</v>
      </c>
      <c r="J503" s="28" t="s">
        <v>16</v>
      </c>
      <c r="K503" s="28" t="s">
        <v>78</v>
      </c>
      <c r="L503" s="29">
        <f t="shared" si="9"/>
        <v>163.62</v>
      </c>
    </row>
    <row r="504" spans="2:12" x14ac:dyDescent="0.25">
      <c r="B504" s="27">
        <v>44987</v>
      </c>
      <c r="C504" s="28" t="s">
        <v>36</v>
      </c>
      <c r="D504" s="28">
        <v>2023</v>
      </c>
      <c r="E504" s="28" t="s">
        <v>15</v>
      </c>
      <c r="F504" s="28">
        <v>8</v>
      </c>
      <c r="G504" s="28" t="s">
        <v>93</v>
      </c>
      <c r="H504" s="28" t="s">
        <v>16</v>
      </c>
      <c r="I504" s="28" t="s">
        <v>16</v>
      </c>
      <c r="J504" s="28" t="s">
        <v>16</v>
      </c>
      <c r="K504" s="28" t="s">
        <v>74</v>
      </c>
      <c r="L504" s="29">
        <f t="shared" si="9"/>
        <v>72.72</v>
      </c>
    </row>
    <row r="505" spans="2:12" x14ac:dyDescent="0.25">
      <c r="B505" s="27">
        <v>44989</v>
      </c>
      <c r="C505" s="28" t="s">
        <v>36</v>
      </c>
      <c r="D505" s="28">
        <v>2023</v>
      </c>
      <c r="E505" s="28" t="s">
        <v>14</v>
      </c>
      <c r="F505" s="28">
        <v>6</v>
      </c>
      <c r="G505" s="28" t="s">
        <v>93</v>
      </c>
      <c r="H505" s="28" t="s">
        <v>16</v>
      </c>
      <c r="I505" s="28" t="s">
        <v>16</v>
      </c>
      <c r="J505" s="28" t="s">
        <v>16</v>
      </c>
      <c r="K505" s="28" t="s">
        <v>79</v>
      </c>
      <c r="L505" s="29">
        <f t="shared" si="9"/>
        <v>54.54</v>
      </c>
    </row>
    <row r="506" spans="2:12" x14ac:dyDescent="0.25">
      <c r="B506" s="27">
        <v>44989</v>
      </c>
      <c r="C506" s="28" t="s">
        <v>36</v>
      </c>
      <c r="D506" s="28">
        <v>2023</v>
      </c>
      <c r="E506" s="28" t="s">
        <v>14</v>
      </c>
      <c r="F506" s="28">
        <v>26</v>
      </c>
      <c r="G506" s="28" t="s">
        <v>93</v>
      </c>
      <c r="H506" s="28" t="s">
        <v>16</v>
      </c>
      <c r="I506" s="28" t="s">
        <v>16</v>
      </c>
      <c r="J506" s="28" t="s">
        <v>16</v>
      </c>
      <c r="K506" s="28" t="s">
        <v>83</v>
      </c>
      <c r="L506" s="29">
        <f t="shared" si="9"/>
        <v>236.34</v>
      </c>
    </row>
    <row r="507" spans="2:12" x14ac:dyDescent="0.25">
      <c r="B507" s="27">
        <v>44989</v>
      </c>
      <c r="C507" s="28" t="s">
        <v>36</v>
      </c>
      <c r="D507" s="28">
        <v>2023</v>
      </c>
      <c r="E507" s="28" t="s">
        <v>14</v>
      </c>
      <c r="F507" s="28">
        <v>26</v>
      </c>
      <c r="G507" s="28" t="s">
        <v>93</v>
      </c>
      <c r="H507" s="28" t="s">
        <v>16</v>
      </c>
      <c r="I507" s="28" t="s">
        <v>16</v>
      </c>
      <c r="J507" s="28" t="s">
        <v>16</v>
      </c>
      <c r="K507" s="28" t="s">
        <v>78</v>
      </c>
      <c r="L507" s="29">
        <f t="shared" si="9"/>
        <v>236.34</v>
      </c>
    </row>
    <row r="508" spans="2:12" x14ac:dyDescent="0.25">
      <c r="B508" s="27">
        <v>44989</v>
      </c>
      <c r="C508" s="28" t="s">
        <v>36</v>
      </c>
      <c r="D508" s="28">
        <v>2023</v>
      </c>
      <c r="E508" s="28" t="s">
        <v>15</v>
      </c>
      <c r="F508" s="28">
        <v>17</v>
      </c>
      <c r="G508" s="28" t="s">
        <v>93</v>
      </c>
      <c r="H508" s="28" t="s">
        <v>16</v>
      </c>
      <c r="I508" s="28" t="s">
        <v>16</v>
      </c>
      <c r="J508" s="28" t="s">
        <v>16</v>
      </c>
      <c r="K508" s="28" t="s">
        <v>76</v>
      </c>
      <c r="L508" s="29">
        <f t="shared" si="9"/>
        <v>154.53</v>
      </c>
    </row>
    <row r="509" spans="2:12" x14ac:dyDescent="0.25">
      <c r="B509" s="27">
        <v>44990</v>
      </c>
      <c r="C509" s="28" t="s">
        <v>36</v>
      </c>
      <c r="D509" s="28">
        <v>2023</v>
      </c>
      <c r="E509" s="28" t="s">
        <v>14</v>
      </c>
      <c r="F509" s="28">
        <v>26</v>
      </c>
      <c r="G509" s="28" t="s">
        <v>93</v>
      </c>
      <c r="H509" s="28" t="s">
        <v>16</v>
      </c>
      <c r="I509" s="28" t="s">
        <v>16</v>
      </c>
      <c r="J509" s="28" t="s">
        <v>16</v>
      </c>
      <c r="K509" s="28" t="s">
        <v>83</v>
      </c>
      <c r="L509" s="29">
        <f t="shared" si="9"/>
        <v>236.34</v>
      </c>
    </row>
    <row r="510" spans="2:12" x14ac:dyDescent="0.25">
      <c r="B510" s="27">
        <v>44989</v>
      </c>
      <c r="C510" s="28" t="s">
        <v>36</v>
      </c>
      <c r="D510" s="28">
        <v>2023</v>
      </c>
      <c r="E510" s="28" t="s">
        <v>15</v>
      </c>
      <c r="F510" s="28">
        <v>3</v>
      </c>
      <c r="G510" s="28" t="s">
        <v>94</v>
      </c>
      <c r="H510" s="28" t="s">
        <v>16</v>
      </c>
      <c r="I510" s="28" t="s">
        <v>16</v>
      </c>
      <c r="J510" s="28" t="s">
        <v>16</v>
      </c>
      <c r="K510" s="28" t="s">
        <v>76</v>
      </c>
      <c r="L510" s="29">
        <f t="shared" si="9"/>
        <v>27.27</v>
      </c>
    </row>
    <row r="511" spans="2:12" x14ac:dyDescent="0.25">
      <c r="B511" s="27">
        <v>44993</v>
      </c>
      <c r="C511" s="28" t="s">
        <v>36</v>
      </c>
      <c r="D511" s="28">
        <v>2023</v>
      </c>
      <c r="E511" s="28" t="s">
        <v>14</v>
      </c>
      <c r="F511" s="28">
        <v>24</v>
      </c>
      <c r="G511" s="28" t="s">
        <v>108</v>
      </c>
      <c r="H511" s="28" t="s">
        <v>16</v>
      </c>
      <c r="I511" s="28" t="s">
        <v>16</v>
      </c>
      <c r="J511" s="28" t="s">
        <v>16</v>
      </c>
      <c r="K511" s="28" t="s">
        <v>77</v>
      </c>
      <c r="L511" s="29">
        <f t="shared" si="9"/>
        <v>218.16</v>
      </c>
    </row>
    <row r="512" spans="2:12" x14ac:dyDescent="0.25">
      <c r="B512" s="27">
        <v>44994</v>
      </c>
      <c r="C512" s="28" t="s">
        <v>36</v>
      </c>
      <c r="D512" s="28">
        <v>2023</v>
      </c>
      <c r="E512" s="28" t="s">
        <v>15</v>
      </c>
      <c r="F512" s="28">
        <v>6</v>
      </c>
      <c r="G512" s="28" t="s">
        <v>111</v>
      </c>
      <c r="H512" s="28" t="s">
        <v>16</v>
      </c>
      <c r="I512" s="28" t="s">
        <v>16</v>
      </c>
      <c r="J512" s="28" t="s">
        <v>16</v>
      </c>
      <c r="K512" s="28" t="s">
        <v>78</v>
      </c>
      <c r="L512" s="29">
        <f t="shared" si="9"/>
        <v>54.54</v>
      </c>
    </row>
    <row r="513" spans="2:12" x14ac:dyDescent="0.25">
      <c r="B513" s="27">
        <v>44996</v>
      </c>
      <c r="C513" s="28" t="s">
        <v>36</v>
      </c>
      <c r="D513" s="28">
        <v>2023</v>
      </c>
      <c r="E513" s="28" t="s">
        <v>14</v>
      </c>
      <c r="F513" s="28">
        <v>2</v>
      </c>
      <c r="G513" s="28" t="s">
        <v>85</v>
      </c>
      <c r="H513" s="28" t="s">
        <v>16</v>
      </c>
      <c r="I513" s="28" t="s">
        <v>16</v>
      </c>
      <c r="J513" s="28" t="s">
        <v>16</v>
      </c>
      <c r="K513" s="28" t="s">
        <v>83</v>
      </c>
      <c r="L513" s="29">
        <f t="shared" si="9"/>
        <v>18.18</v>
      </c>
    </row>
    <row r="514" spans="2:12" x14ac:dyDescent="0.25">
      <c r="B514" s="27">
        <v>44996</v>
      </c>
      <c r="C514" s="28" t="s">
        <v>36</v>
      </c>
      <c r="D514" s="28">
        <v>2023</v>
      </c>
      <c r="E514" s="28" t="s">
        <v>14</v>
      </c>
      <c r="F514" s="28">
        <v>4</v>
      </c>
      <c r="G514" s="28" t="s">
        <v>93</v>
      </c>
      <c r="H514" s="28" t="s">
        <v>16</v>
      </c>
      <c r="I514" s="28" t="s">
        <v>16</v>
      </c>
      <c r="J514" s="28" t="s">
        <v>16</v>
      </c>
      <c r="K514" s="28" t="s">
        <v>78</v>
      </c>
      <c r="L514" s="29">
        <f t="shared" si="9"/>
        <v>36.36</v>
      </c>
    </row>
    <row r="515" spans="2:12" x14ac:dyDescent="0.25">
      <c r="B515" s="27">
        <v>44997</v>
      </c>
      <c r="C515" s="28" t="s">
        <v>36</v>
      </c>
      <c r="D515" s="28">
        <v>2023</v>
      </c>
      <c r="E515" s="28" t="s">
        <v>15</v>
      </c>
      <c r="F515" s="28">
        <v>4</v>
      </c>
      <c r="G515" s="28" t="s">
        <v>99</v>
      </c>
      <c r="H515" s="28" t="s">
        <v>16</v>
      </c>
      <c r="I515" s="28" t="s">
        <v>16</v>
      </c>
      <c r="J515" s="28" t="s">
        <v>16</v>
      </c>
      <c r="K515" s="28" t="s">
        <v>78</v>
      </c>
      <c r="L515" s="29">
        <f t="shared" si="9"/>
        <v>36.36</v>
      </c>
    </row>
    <row r="516" spans="2:12" x14ac:dyDescent="0.25">
      <c r="B516" s="27">
        <v>44998</v>
      </c>
      <c r="C516" s="28" t="s">
        <v>36</v>
      </c>
      <c r="D516" s="28">
        <v>2023</v>
      </c>
      <c r="E516" s="28" t="s">
        <v>14</v>
      </c>
      <c r="F516" s="28">
        <v>26</v>
      </c>
      <c r="G516" s="28" t="s">
        <v>93</v>
      </c>
      <c r="H516" s="28" t="s">
        <v>16</v>
      </c>
      <c r="I516" s="28" t="s">
        <v>16</v>
      </c>
      <c r="J516" s="28" t="s">
        <v>16</v>
      </c>
      <c r="K516" s="28" t="s">
        <v>79</v>
      </c>
      <c r="L516" s="29">
        <f t="shared" si="9"/>
        <v>236.34</v>
      </c>
    </row>
    <row r="517" spans="2:12" x14ac:dyDescent="0.25">
      <c r="B517" s="27">
        <v>45001</v>
      </c>
      <c r="C517" s="28" t="s">
        <v>36</v>
      </c>
      <c r="D517" s="28">
        <v>2023</v>
      </c>
      <c r="E517" s="28" t="s">
        <v>14</v>
      </c>
      <c r="F517" s="28">
        <v>6</v>
      </c>
      <c r="G517" s="28" t="s">
        <v>93</v>
      </c>
      <c r="H517" s="28" t="s">
        <v>16</v>
      </c>
      <c r="I517" s="28" t="s">
        <v>16</v>
      </c>
      <c r="J517" s="28" t="s">
        <v>16</v>
      </c>
      <c r="K517" s="28" t="s">
        <v>75</v>
      </c>
      <c r="L517" s="29">
        <f t="shared" si="9"/>
        <v>54.54</v>
      </c>
    </row>
    <row r="518" spans="2:12" x14ac:dyDescent="0.25">
      <c r="B518" s="27">
        <v>45000</v>
      </c>
      <c r="C518" s="28" t="s">
        <v>36</v>
      </c>
      <c r="D518" s="28">
        <v>2023</v>
      </c>
      <c r="E518" s="28" t="s">
        <v>15</v>
      </c>
      <c r="F518" s="28">
        <v>4</v>
      </c>
      <c r="G518" s="28" t="s">
        <v>85</v>
      </c>
      <c r="H518" s="28" t="s">
        <v>16</v>
      </c>
      <c r="I518" s="28" t="s">
        <v>16</v>
      </c>
      <c r="J518" s="28" t="s">
        <v>16</v>
      </c>
      <c r="K518" s="28" t="s">
        <v>76</v>
      </c>
      <c r="L518" s="29">
        <f t="shared" si="9"/>
        <v>36.36</v>
      </c>
    </row>
    <row r="519" spans="2:12" x14ac:dyDescent="0.25">
      <c r="B519" s="27">
        <v>45001</v>
      </c>
      <c r="C519" s="28" t="s">
        <v>36</v>
      </c>
      <c r="D519" s="28">
        <v>2023</v>
      </c>
      <c r="E519" s="28" t="s">
        <v>14</v>
      </c>
      <c r="F519" s="28">
        <v>4</v>
      </c>
      <c r="G519" s="28" t="s">
        <v>97</v>
      </c>
      <c r="H519" s="28" t="s">
        <v>16</v>
      </c>
      <c r="I519" s="28" t="s">
        <v>16</v>
      </c>
      <c r="J519" s="28" t="s">
        <v>16</v>
      </c>
      <c r="K519" s="28" t="s">
        <v>73</v>
      </c>
      <c r="L519" s="29">
        <f t="shared" si="9"/>
        <v>36.36</v>
      </c>
    </row>
    <row r="520" spans="2:12" x14ac:dyDescent="0.25">
      <c r="B520" s="27">
        <v>45002</v>
      </c>
      <c r="C520" s="28" t="s">
        <v>36</v>
      </c>
      <c r="D520" s="28">
        <v>2023</v>
      </c>
      <c r="E520" s="28" t="s">
        <v>14</v>
      </c>
      <c r="F520" s="28">
        <v>6</v>
      </c>
      <c r="G520" s="28" t="s">
        <v>93</v>
      </c>
      <c r="H520" s="28" t="s">
        <v>16</v>
      </c>
      <c r="I520" s="28" t="s">
        <v>16</v>
      </c>
      <c r="J520" s="28" t="s">
        <v>16</v>
      </c>
      <c r="K520" s="28" t="s">
        <v>75</v>
      </c>
      <c r="L520" s="29">
        <f t="shared" si="9"/>
        <v>54.54</v>
      </c>
    </row>
    <row r="521" spans="2:12" x14ac:dyDescent="0.25">
      <c r="B521" s="27">
        <v>45002</v>
      </c>
      <c r="C521" s="28" t="s">
        <v>36</v>
      </c>
      <c r="D521" s="28">
        <v>2023</v>
      </c>
      <c r="E521" s="28" t="s">
        <v>15</v>
      </c>
      <c r="F521" s="28">
        <v>3</v>
      </c>
      <c r="G521" s="28" t="s">
        <v>111</v>
      </c>
      <c r="H521" s="28" t="s">
        <v>16</v>
      </c>
      <c r="I521" s="28" t="s">
        <v>16</v>
      </c>
      <c r="J521" s="28" t="s">
        <v>16</v>
      </c>
      <c r="K521" s="28" t="s">
        <v>75</v>
      </c>
      <c r="L521" s="29">
        <f t="shared" si="9"/>
        <v>27.27</v>
      </c>
    </row>
    <row r="522" spans="2:12" x14ac:dyDescent="0.25">
      <c r="B522" s="27">
        <v>45003</v>
      </c>
      <c r="C522" s="28" t="s">
        <v>36</v>
      </c>
      <c r="D522" s="28">
        <v>2023</v>
      </c>
      <c r="E522" s="28" t="s">
        <v>14</v>
      </c>
      <c r="F522" s="28">
        <v>6</v>
      </c>
      <c r="G522" s="28" t="s">
        <v>93</v>
      </c>
      <c r="H522" s="28" t="s">
        <v>16</v>
      </c>
      <c r="I522" s="28" t="s">
        <v>16</v>
      </c>
      <c r="J522" s="28" t="s">
        <v>16</v>
      </c>
      <c r="K522" s="28" t="s">
        <v>78</v>
      </c>
      <c r="L522" s="29">
        <f t="shared" si="9"/>
        <v>54.54</v>
      </c>
    </row>
    <row r="523" spans="2:12" x14ac:dyDescent="0.25">
      <c r="B523" s="27">
        <v>45004</v>
      </c>
      <c r="C523" s="28" t="s">
        <v>36</v>
      </c>
      <c r="D523" s="28">
        <v>2023</v>
      </c>
      <c r="E523" s="28" t="s">
        <v>14</v>
      </c>
      <c r="F523" s="28">
        <v>26</v>
      </c>
      <c r="G523" s="28" t="s">
        <v>93</v>
      </c>
      <c r="H523" s="28" t="s">
        <v>16</v>
      </c>
      <c r="I523" s="28" t="s">
        <v>16</v>
      </c>
      <c r="J523" s="28" t="s">
        <v>16</v>
      </c>
      <c r="K523" s="28" t="s">
        <v>75</v>
      </c>
      <c r="L523" s="29">
        <f t="shared" si="9"/>
        <v>236.34</v>
      </c>
    </row>
    <row r="524" spans="2:12" x14ac:dyDescent="0.25">
      <c r="B524" s="27">
        <v>45008</v>
      </c>
      <c r="C524" s="28" t="s">
        <v>36</v>
      </c>
      <c r="D524" s="28">
        <v>2023</v>
      </c>
      <c r="E524" s="28" t="s">
        <v>15</v>
      </c>
      <c r="F524" s="28">
        <v>12</v>
      </c>
      <c r="G524" s="28" t="s">
        <v>85</v>
      </c>
      <c r="H524" s="28" t="s">
        <v>16</v>
      </c>
      <c r="I524" s="28" t="s">
        <v>16</v>
      </c>
      <c r="J524" s="28" t="s">
        <v>16</v>
      </c>
      <c r="K524" s="28" t="s">
        <v>73</v>
      </c>
      <c r="L524" s="29">
        <f t="shared" si="9"/>
        <v>109.08</v>
      </c>
    </row>
    <row r="525" spans="2:12" x14ac:dyDescent="0.25">
      <c r="B525" s="27">
        <v>45008</v>
      </c>
      <c r="C525" s="28" t="s">
        <v>36</v>
      </c>
      <c r="D525" s="28">
        <v>2023</v>
      </c>
      <c r="E525" s="28" t="s">
        <v>14</v>
      </c>
      <c r="F525" s="28">
        <v>26</v>
      </c>
      <c r="G525" s="28" t="s">
        <v>93</v>
      </c>
      <c r="H525" s="28" t="s">
        <v>16</v>
      </c>
      <c r="I525" s="28" t="s">
        <v>16</v>
      </c>
      <c r="J525" s="28" t="s">
        <v>16</v>
      </c>
      <c r="K525" s="28" t="s">
        <v>73</v>
      </c>
      <c r="L525" s="29">
        <f t="shared" si="9"/>
        <v>236.34</v>
      </c>
    </row>
    <row r="526" spans="2:12" x14ac:dyDescent="0.25">
      <c r="B526" s="27">
        <v>45009</v>
      </c>
      <c r="C526" s="28" t="s">
        <v>36</v>
      </c>
      <c r="D526" s="28">
        <v>2023</v>
      </c>
      <c r="E526" s="28" t="s">
        <v>14</v>
      </c>
      <c r="F526" s="28">
        <v>26</v>
      </c>
      <c r="G526" s="28" t="s">
        <v>93</v>
      </c>
      <c r="H526" s="28" t="s">
        <v>16</v>
      </c>
      <c r="I526" s="28" t="s">
        <v>16</v>
      </c>
      <c r="J526" s="28" t="s">
        <v>16</v>
      </c>
      <c r="K526" s="28" t="s">
        <v>83</v>
      </c>
      <c r="L526" s="29">
        <f t="shared" si="9"/>
        <v>236.34</v>
      </c>
    </row>
    <row r="527" spans="2:12" x14ac:dyDescent="0.25">
      <c r="B527" s="27">
        <v>45011</v>
      </c>
      <c r="C527" s="28" t="s">
        <v>36</v>
      </c>
      <c r="D527" s="28">
        <v>2023</v>
      </c>
      <c r="E527" s="28" t="s">
        <v>15</v>
      </c>
      <c r="F527" s="28">
        <v>4</v>
      </c>
      <c r="G527" s="28" t="s">
        <v>93</v>
      </c>
      <c r="H527" s="28" t="s">
        <v>16</v>
      </c>
      <c r="I527" s="28" t="s">
        <v>16</v>
      </c>
      <c r="J527" s="28" t="s">
        <v>16</v>
      </c>
      <c r="K527" s="28" t="s">
        <v>78</v>
      </c>
      <c r="L527" s="29">
        <f t="shared" si="9"/>
        <v>36.36</v>
      </c>
    </row>
    <row r="528" spans="2:12" x14ac:dyDescent="0.25">
      <c r="B528" s="27">
        <v>45014</v>
      </c>
      <c r="C528" s="28" t="s">
        <v>36</v>
      </c>
      <c r="D528" s="28">
        <v>2023</v>
      </c>
      <c r="E528" s="28" t="s">
        <v>15</v>
      </c>
      <c r="F528" s="28">
        <v>6</v>
      </c>
      <c r="G528" s="28" t="s">
        <v>94</v>
      </c>
      <c r="H528" s="28" t="s">
        <v>16</v>
      </c>
      <c r="I528" s="28" t="s">
        <v>16</v>
      </c>
      <c r="J528" s="28" t="s">
        <v>16</v>
      </c>
      <c r="K528" s="28" t="s">
        <v>83</v>
      </c>
      <c r="L528" s="29">
        <f t="shared" si="9"/>
        <v>54.54</v>
      </c>
    </row>
    <row r="529" spans="2:12" x14ac:dyDescent="0.25">
      <c r="B529" s="27">
        <v>45016</v>
      </c>
      <c r="C529" s="28" t="s">
        <v>36</v>
      </c>
      <c r="D529" s="28">
        <v>2023</v>
      </c>
      <c r="E529" s="28" t="s">
        <v>14</v>
      </c>
      <c r="F529" s="28">
        <v>26</v>
      </c>
      <c r="G529" s="28" t="s">
        <v>93</v>
      </c>
      <c r="H529" s="28" t="s">
        <v>16</v>
      </c>
      <c r="I529" s="28" t="s">
        <v>16</v>
      </c>
      <c r="J529" s="28" t="s">
        <v>16</v>
      </c>
      <c r="K529" s="28" t="s">
        <v>76</v>
      </c>
      <c r="L529" s="29">
        <f t="shared" si="9"/>
        <v>236.34</v>
      </c>
    </row>
    <row r="530" spans="2:12" x14ac:dyDescent="0.25">
      <c r="B530" s="27">
        <v>45017</v>
      </c>
      <c r="C530" s="28" t="s">
        <v>37</v>
      </c>
      <c r="D530" s="28">
        <v>2023</v>
      </c>
      <c r="E530" s="28" t="s">
        <v>14</v>
      </c>
      <c r="F530" s="28">
        <v>6</v>
      </c>
      <c r="G530" s="28" t="s">
        <v>93</v>
      </c>
      <c r="H530" s="28" t="s">
        <v>16</v>
      </c>
      <c r="I530" s="28" t="s">
        <v>16</v>
      </c>
      <c r="J530" s="28" t="s">
        <v>16</v>
      </c>
      <c r="K530" s="28" t="s">
        <v>78</v>
      </c>
      <c r="L530" s="29">
        <f t="shared" si="9"/>
        <v>54.54</v>
      </c>
    </row>
    <row r="531" spans="2:12" x14ac:dyDescent="0.25">
      <c r="B531" s="27">
        <v>45018</v>
      </c>
      <c r="C531" s="28" t="s">
        <v>37</v>
      </c>
      <c r="D531" s="28">
        <v>2023</v>
      </c>
      <c r="E531" s="28" t="s">
        <v>15</v>
      </c>
      <c r="F531" s="28">
        <v>2</v>
      </c>
      <c r="G531" s="28" t="s">
        <v>93</v>
      </c>
      <c r="H531" s="28" t="s">
        <v>16</v>
      </c>
      <c r="I531" s="28" t="s">
        <v>16</v>
      </c>
      <c r="J531" s="28" t="s">
        <v>16</v>
      </c>
      <c r="K531" s="28" t="s">
        <v>78</v>
      </c>
      <c r="L531" s="29">
        <f t="shared" si="9"/>
        <v>18.18</v>
      </c>
    </row>
    <row r="532" spans="2:12" x14ac:dyDescent="0.25">
      <c r="B532" s="27">
        <v>45019</v>
      </c>
      <c r="C532" s="28" t="s">
        <v>37</v>
      </c>
      <c r="D532" s="28">
        <v>2023</v>
      </c>
      <c r="E532" s="28" t="s">
        <v>14</v>
      </c>
      <c r="F532" s="28">
        <v>14</v>
      </c>
      <c r="G532" s="28" t="s">
        <v>93</v>
      </c>
      <c r="H532" s="28" t="s">
        <v>16</v>
      </c>
      <c r="I532" s="28" t="s">
        <v>16</v>
      </c>
      <c r="J532" s="28" t="s">
        <v>16</v>
      </c>
      <c r="K532" s="28" t="s">
        <v>75</v>
      </c>
      <c r="L532" s="29">
        <f t="shared" si="9"/>
        <v>127.25999999999999</v>
      </c>
    </row>
    <row r="533" spans="2:12" x14ac:dyDescent="0.25">
      <c r="B533" s="27">
        <v>45022</v>
      </c>
      <c r="C533" s="28" t="s">
        <v>37</v>
      </c>
      <c r="D533" s="28">
        <v>2023</v>
      </c>
      <c r="E533" s="28" t="s">
        <v>14</v>
      </c>
      <c r="F533" s="28">
        <v>5</v>
      </c>
      <c r="G533" s="28" t="s">
        <v>93</v>
      </c>
      <c r="H533" s="28" t="s">
        <v>16</v>
      </c>
      <c r="I533" s="28" t="s">
        <v>16</v>
      </c>
      <c r="J533" s="28" t="s">
        <v>16</v>
      </c>
      <c r="K533" s="28" t="s">
        <v>78</v>
      </c>
      <c r="L533" s="29">
        <f t="shared" si="9"/>
        <v>45.45</v>
      </c>
    </row>
    <row r="534" spans="2:12" x14ac:dyDescent="0.25">
      <c r="B534" s="27">
        <v>45022</v>
      </c>
      <c r="C534" s="28" t="s">
        <v>37</v>
      </c>
      <c r="D534" s="28">
        <v>2023</v>
      </c>
      <c r="E534" s="28" t="s">
        <v>14</v>
      </c>
      <c r="F534" s="28">
        <v>7</v>
      </c>
      <c r="G534" s="28" t="s">
        <v>93</v>
      </c>
      <c r="H534" s="28" t="s">
        <v>16</v>
      </c>
      <c r="I534" s="28" t="s">
        <v>16</v>
      </c>
      <c r="J534" s="28" t="s">
        <v>16</v>
      </c>
      <c r="K534" s="28" t="s">
        <v>78</v>
      </c>
      <c r="L534" s="29">
        <f t="shared" si="9"/>
        <v>63.629999999999995</v>
      </c>
    </row>
    <row r="535" spans="2:12" x14ac:dyDescent="0.25">
      <c r="B535" s="27">
        <v>45023</v>
      </c>
      <c r="C535" s="28" t="s">
        <v>37</v>
      </c>
      <c r="D535" s="28">
        <v>2023</v>
      </c>
      <c r="E535" s="28" t="s">
        <v>14</v>
      </c>
      <c r="F535" s="28">
        <v>26</v>
      </c>
      <c r="G535" s="28" t="s">
        <v>93</v>
      </c>
      <c r="H535" s="28" t="s">
        <v>16</v>
      </c>
      <c r="I535" s="28" t="s">
        <v>16</v>
      </c>
      <c r="J535" s="28" t="s">
        <v>16</v>
      </c>
      <c r="K535" s="28" t="s">
        <v>76</v>
      </c>
      <c r="L535" s="29">
        <f t="shared" si="9"/>
        <v>236.34</v>
      </c>
    </row>
    <row r="536" spans="2:12" x14ac:dyDescent="0.25">
      <c r="B536" s="27">
        <v>45024</v>
      </c>
      <c r="C536" s="28" t="s">
        <v>37</v>
      </c>
      <c r="D536" s="28">
        <v>2023</v>
      </c>
      <c r="E536" s="28" t="s">
        <v>14</v>
      </c>
      <c r="F536" s="28">
        <v>26</v>
      </c>
      <c r="G536" s="28" t="s">
        <v>93</v>
      </c>
      <c r="H536" s="28" t="s">
        <v>16</v>
      </c>
      <c r="I536" s="28" t="s">
        <v>16</v>
      </c>
      <c r="J536" s="28" t="s">
        <v>16</v>
      </c>
      <c r="K536" s="28" t="s">
        <v>75</v>
      </c>
      <c r="L536" s="29">
        <f t="shared" si="9"/>
        <v>236.34</v>
      </c>
    </row>
    <row r="537" spans="2:12" x14ac:dyDescent="0.25">
      <c r="B537" s="27">
        <v>45030</v>
      </c>
      <c r="C537" s="28" t="s">
        <v>37</v>
      </c>
      <c r="D537" s="28">
        <v>2023</v>
      </c>
      <c r="E537" s="28" t="s">
        <v>14</v>
      </c>
      <c r="F537" s="28">
        <v>6</v>
      </c>
      <c r="G537" s="28" t="s">
        <v>94</v>
      </c>
      <c r="H537" s="28" t="s">
        <v>16</v>
      </c>
      <c r="I537" s="28" t="s">
        <v>16</v>
      </c>
      <c r="J537" s="28" t="s">
        <v>16</v>
      </c>
      <c r="K537" s="28" t="s">
        <v>79</v>
      </c>
      <c r="L537" s="29">
        <f t="shared" si="9"/>
        <v>54.54</v>
      </c>
    </row>
    <row r="538" spans="2:12" x14ac:dyDescent="0.25">
      <c r="B538" s="27">
        <v>45030</v>
      </c>
      <c r="C538" s="28" t="s">
        <v>37</v>
      </c>
      <c r="D538" s="28">
        <v>2023</v>
      </c>
      <c r="E538" s="28" t="s">
        <v>14</v>
      </c>
      <c r="F538" s="28">
        <v>6</v>
      </c>
      <c r="G538" s="28" t="s">
        <v>94</v>
      </c>
      <c r="H538" s="28" t="s">
        <v>16</v>
      </c>
      <c r="I538" s="28" t="s">
        <v>16</v>
      </c>
      <c r="J538" s="28" t="s">
        <v>16</v>
      </c>
      <c r="K538" s="28" t="s">
        <v>83</v>
      </c>
      <c r="L538" s="29">
        <f t="shared" si="9"/>
        <v>54.54</v>
      </c>
    </row>
    <row r="539" spans="2:12" x14ac:dyDescent="0.25">
      <c r="B539" s="27">
        <v>45030</v>
      </c>
      <c r="C539" s="28" t="s">
        <v>37</v>
      </c>
      <c r="D539" s="28">
        <v>2023</v>
      </c>
      <c r="E539" s="28" t="s">
        <v>14</v>
      </c>
      <c r="F539" s="28">
        <v>10</v>
      </c>
      <c r="G539" s="28" t="s">
        <v>97</v>
      </c>
      <c r="H539" s="28" t="s">
        <v>16</v>
      </c>
      <c r="I539" s="28" t="s">
        <v>16</v>
      </c>
      <c r="J539" s="28" t="s">
        <v>16</v>
      </c>
      <c r="K539" s="28" t="s">
        <v>78</v>
      </c>
      <c r="L539" s="29">
        <f t="shared" si="9"/>
        <v>90.9</v>
      </c>
    </row>
    <row r="540" spans="2:12" x14ac:dyDescent="0.25">
      <c r="B540" s="27">
        <v>45031</v>
      </c>
      <c r="C540" s="28" t="s">
        <v>37</v>
      </c>
      <c r="D540" s="28">
        <v>2023</v>
      </c>
      <c r="E540" s="28" t="s">
        <v>14</v>
      </c>
      <c r="F540" s="28">
        <v>2</v>
      </c>
      <c r="G540" s="28" t="s">
        <v>97</v>
      </c>
      <c r="H540" s="28" t="s">
        <v>16</v>
      </c>
      <c r="I540" s="28" t="s">
        <v>16</v>
      </c>
      <c r="J540" s="28" t="s">
        <v>16</v>
      </c>
      <c r="K540" s="28" t="s">
        <v>75</v>
      </c>
      <c r="L540" s="29">
        <f t="shared" si="9"/>
        <v>18.18</v>
      </c>
    </row>
    <row r="541" spans="2:12" x14ac:dyDescent="0.25">
      <c r="B541" s="27">
        <v>45037</v>
      </c>
      <c r="C541" s="28" t="s">
        <v>37</v>
      </c>
      <c r="D541" s="28">
        <v>2023</v>
      </c>
      <c r="E541" s="28" t="s">
        <v>15</v>
      </c>
      <c r="F541" s="28">
        <v>6</v>
      </c>
      <c r="G541" s="28" t="s">
        <v>111</v>
      </c>
      <c r="H541" s="28" t="s">
        <v>16</v>
      </c>
      <c r="I541" s="28" t="s">
        <v>16</v>
      </c>
      <c r="J541" s="28" t="s">
        <v>16</v>
      </c>
      <c r="K541" s="28" t="s">
        <v>75</v>
      </c>
      <c r="L541" s="29">
        <f t="shared" si="9"/>
        <v>54.54</v>
      </c>
    </row>
    <row r="542" spans="2:12" x14ac:dyDescent="0.25">
      <c r="B542" s="27">
        <v>45037</v>
      </c>
      <c r="C542" s="28" t="s">
        <v>37</v>
      </c>
      <c r="D542" s="28">
        <v>2023</v>
      </c>
      <c r="E542" s="28" t="s">
        <v>15</v>
      </c>
      <c r="F542" s="28">
        <v>5</v>
      </c>
      <c r="G542" s="28" t="s">
        <v>93</v>
      </c>
      <c r="H542" s="28" t="s">
        <v>16</v>
      </c>
      <c r="I542" s="28" t="s">
        <v>16</v>
      </c>
      <c r="J542" s="28" t="s">
        <v>16</v>
      </c>
      <c r="K542" s="28" t="s">
        <v>78</v>
      </c>
      <c r="L542" s="29">
        <f t="shared" si="9"/>
        <v>45.45</v>
      </c>
    </row>
    <row r="543" spans="2:12" x14ac:dyDescent="0.25">
      <c r="B543" s="27">
        <v>45038</v>
      </c>
      <c r="C543" s="28" t="s">
        <v>37</v>
      </c>
      <c r="D543" s="28">
        <v>2023</v>
      </c>
      <c r="E543" s="28" t="s">
        <v>15</v>
      </c>
      <c r="F543" s="28">
        <v>2</v>
      </c>
      <c r="G543" s="28" t="s">
        <v>97</v>
      </c>
      <c r="H543" s="28" t="s">
        <v>16</v>
      </c>
      <c r="I543" s="28" t="s">
        <v>16</v>
      </c>
      <c r="J543" s="28" t="s">
        <v>16</v>
      </c>
      <c r="K543" s="28" t="s">
        <v>73</v>
      </c>
      <c r="L543" s="29">
        <f t="shared" si="9"/>
        <v>18.18</v>
      </c>
    </row>
    <row r="544" spans="2:12" x14ac:dyDescent="0.25">
      <c r="B544" s="27">
        <v>45038</v>
      </c>
      <c r="C544" s="28" t="s">
        <v>37</v>
      </c>
      <c r="D544" s="28">
        <v>2023</v>
      </c>
      <c r="E544" s="28" t="s">
        <v>15</v>
      </c>
      <c r="F544" s="28">
        <v>26</v>
      </c>
      <c r="G544" s="28" t="s">
        <v>93</v>
      </c>
      <c r="H544" s="28" t="s">
        <v>16</v>
      </c>
      <c r="I544" s="28" t="s">
        <v>16</v>
      </c>
      <c r="J544" s="28" t="s">
        <v>16</v>
      </c>
      <c r="K544" s="28" t="s">
        <v>75</v>
      </c>
      <c r="L544" s="29">
        <f t="shared" si="9"/>
        <v>236.34</v>
      </c>
    </row>
    <row r="545" spans="2:12" x14ac:dyDescent="0.25">
      <c r="B545" s="27">
        <v>45041</v>
      </c>
      <c r="C545" s="28" t="s">
        <v>37</v>
      </c>
      <c r="D545" s="28">
        <v>2023</v>
      </c>
      <c r="E545" s="28" t="s">
        <v>15</v>
      </c>
      <c r="F545" s="28">
        <v>2</v>
      </c>
      <c r="G545" s="28" t="s">
        <v>99</v>
      </c>
      <c r="H545" s="28" t="s">
        <v>16</v>
      </c>
      <c r="I545" s="28" t="s">
        <v>16</v>
      </c>
      <c r="J545" s="28" t="s">
        <v>16</v>
      </c>
      <c r="K545" s="28" t="s">
        <v>79</v>
      </c>
      <c r="L545" s="29">
        <f t="shared" si="9"/>
        <v>18.18</v>
      </c>
    </row>
    <row r="546" spans="2:12" x14ac:dyDescent="0.25">
      <c r="B546" s="27">
        <v>45045</v>
      </c>
      <c r="C546" s="28" t="s">
        <v>37</v>
      </c>
      <c r="D546" s="28">
        <v>2023</v>
      </c>
      <c r="E546" s="28" t="s">
        <v>14</v>
      </c>
      <c r="F546" s="28">
        <v>2</v>
      </c>
      <c r="G546" s="28" t="s">
        <v>97</v>
      </c>
      <c r="H546" s="28" t="s">
        <v>16</v>
      </c>
      <c r="I546" s="28" t="s">
        <v>16</v>
      </c>
      <c r="J546" s="28" t="s">
        <v>16</v>
      </c>
      <c r="K546" s="28" t="s">
        <v>78</v>
      </c>
      <c r="L546" s="29">
        <f t="shared" si="9"/>
        <v>18.18</v>
      </c>
    </row>
    <row r="547" spans="2:12" x14ac:dyDescent="0.25">
      <c r="B547" s="27">
        <v>45046</v>
      </c>
      <c r="C547" s="28" t="s">
        <v>37</v>
      </c>
      <c r="D547" s="28">
        <v>2023</v>
      </c>
      <c r="E547" s="28" t="s">
        <v>15</v>
      </c>
      <c r="F547" s="28">
        <v>5</v>
      </c>
      <c r="G547" s="28" t="s">
        <v>97</v>
      </c>
      <c r="H547" s="28" t="s">
        <v>16</v>
      </c>
      <c r="I547" s="28" t="s">
        <v>16</v>
      </c>
      <c r="J547" s="28" t="s">
        <v>16</v>
      </c>
      <c r="K547" s="28" t="s">
        <v>75</v>
      </c>
      <c r="L547" s="29">
        <f t="shared" si="9"/>
        <v>45.45</v>
      </c>
    </row>
    <row r="548" spans="2:12" x14ac:dyDescent="0.25">
      <c r="B548" s="27">
        <v>45046</v>
      </c>
      <c r="C548" s="28" t="s">
        <v>37</v>
      </c>
      <c r="D548" s="28">
        <v>2023</v>
      </c>
      <c r="E548" s="28" t="s">
        <v>15</v>
      </c>
      <c r="F548" s="28">
        <v>3</v>
      </c>
      <c r="G548" s="28" t="s">
        <v>93</v>
      </c>
      <c r="H548" s="28" t="s">
        <v>16</v>
      </c>
      <c r="I548" s="28" t="s">
        <v>16</v>
      </c>
      <c r="J548" s="28" t="s">
        <v>16</v>
      </c>
      <c r="K548" s="28" t="s">
        <v>73</v>
      </c>
      <c r="L548" s="29">
        <f t="shared" si="9"/>
        <v>27.27</v>
      </c>
    </row>
    <row r="549" spans="2:12" x14ac:dyDescent="0.25">
      <c r="B549" s="27">
        <v>45050</v>
      </c>
      <c r="C549" s="28" t="s">
        <v>38</v>
      </c>
      <c r="D549" s="28">
        <v>2023</v>
      </c>
      <c r="E549" s="28" t="s">
        <v>14</v>
      </c>
      <c r="F549" s="28">
        <v>26</v>
      </c>
      <c r="G549" s="28" t="s">
        <v>93</v>
      </c>
      <c r="H549" s="28" t="s">
        <v>16</v>
      </c>
      <c r="I549" s="28" t="s">
        <v>16</v>
      </c>
      <c r="J549" s="28" t="s">
        <v>16</v>
      </c>
      <c r="K549" s="28" t="s">
        <v>83</v>
      </c>
      <c r="L549" s="29">
        <f t="shared" si="9"/>
        <v>236.34</v>
      </c>
    </row>
    <row r="550" spans="2:12" x14ac:dyDescent="0.25">
      <c r="B550" s="27">
        <v>45050</v>
      </c>
      <c r="C550" s="28" t="s">
        <v>38</v>
      </c>
      <c r="D550" s="28">
        <v>2023</v>
      </c>
      <c r="E550" s="28" t="s">
        <v>15</v>
      </c>
      <c r="F550" s="28">
        <v>28</v>
      </c>
      <c r="G550" s="28" t="s">
        <v>94</v>
      </c>
      <c r="H550" s="28" t="s">
        <v>16</v>
      </c>
      <c r="I550" s="28" t="s">
        <v>16</v>
      </c>
      <c r="J550" s="28" t="s">
        <v>16</v>
      </c>
      <c r="K550" s="28" t="s">
        <v>76</v>
      </c>
      <c r="L550" s="29">
        <f t="shared" si="9"/>
        <v>254.51999999999998</v>
      </c>
    </row>
    <row r="551" spans="2:12" x14ac:dyDescent="0.25">
      <c r="B551" s="27">
        <v>45050</v>
      </c>
      <c r="C551" s="28" t="s">
        <v>38</v>
      </c>
      <c r="D551" s="28">
        <v>2023</v>
      </c>
      <c r="E551" s="28" t="s">
        <v>14</v>
      </c>
      <c r="F551" s="28">
        <v>11</v>
      </c>
      <c r="G551" s="28" t="s">
        <v>93</v>
      </c>
      <c r="H551" s="28" t="s">
        <v>16</v>
      </c>
      <c r="I551" s="28" t="s">
        <v>16</v>
      </c>
      <c r="J551" s="28" t="s">
        <v>16</v>
      </c>
      <c r="K551" s="28" t="s">
        <v>73</v>
      </c>
      <c r="L551" s="29">
        <f t="shared" si="9"/>
        <v>99.99</v>
      </c>
    </row>
    <row r="552" spans="2:12" x14ac:dyDescent="0.25">
      <c r="B552" s="27">
        <v>45051</v>
      </c>
      <c r="C552" s="28" t="s">
        <v>38</v>
      </c>
      <c r="D552" s="28">
        <v>2023</v>
      </c>
      <c r="E552" s="28" t="s">
        <v>14</v>
      </c>
      <c r="F552" s="28">
        <v>3</v>
      </c>
      <c r="G552" s="28" t="s">
        <v>111</v>
      </c>
      <c r="H552" s="28" t="s">
        <v>16</v>
      </c>
      <c r="I552" s="28" t="s">
        <v>16</v>
      </c>
      <c r="J552" s="28" t="s">
        <v>16</v>
      </c>
      <c r="K552" s="28" t="s">
        <v>78</v>
      </c>
      <c r="L552" s="29">
        <f t="shared" si="9"/>
        <v>27.27</v>
      </c>
    </row>
    <row r="553" spans="2:12" x14ac:dyDescent="0.25">
      <c r="B553" s="27">
        <v>45052</v>
      </c>
      <c r="C553" s="28" t="s">
        <v>38</v>
      </c>
      <c r="D553" s="28">
        <v>2023</v>
      </c>
      <c r="E553" s="28" t="s">
        <v>14</v>
      </c>
      <c r="F553" s="28">
        <v>6</v>
      </c>
      <c r="G553" s="28" t="s">
        <v>97</v>
      </c>
      <c r="H553" s="28" t="s">
        <v>16</v>
      </c>
      <c r="I553" s="28" t="s">
        <v>16</v>
      </c>
      <c r="J553" s="28" t="s">
        <v>16</v>
      </c>
      <c r="K553" s="28" t="s">
        <v>79</v>
      </c>
      <c r="L553" s="29">
        <f t="shared" si="9"/>
        <v>54.54</v>
      </c>
    </row>
    <row r="554" spans="2:12" x14ac:dyDescent="0.25">
      <c r="B554" s="27">
        <v>45054</v>
      </c>
      <c r="C554" s="28" t="s">
        <v>38</v>
      </c>
      <c r="D554" s="28">
        <v>2023</v>
      </c>
      <c r="E554" s="28" t="s">
        <v>14</v>
      </c>
      <c r="F554" s="28">
        <v>3</v>
      </c>
      <c r="G554" s="28" t="s">
        <v>98</v>
      </c>
      <c r="H554" s="28" t="s">
        <v>16</v>
      </c>
      <c r="I554" s="28" t="s">
        <v>16</v>
      </c>
      <c r="J554" s="28" t="s">
        <v>16</v>
      </c>
      <c r="K554" s="28" t="s">
        <v>78</v>
      </c>
      <c r="L554" s="29">
        <f t="shared" si="9"/>
        <v>27.27</v>
      </c>
    </row>
    <row r="555" spans="2:12" x14ac:dyDescent="0.25">
      <c r="B555" s="27">
        <v>45057</v>
      </c>
      <c r="C555" s="28" t="s">
        <v>38</v>
      </c>
      <c r="D555" s="28">
        <v>2023</v>
      </c>
      <c r="E555" s="28" t="s">
        <v>14</v>
      </c>
      <c r="F555" s="28">
        <v>7</v>
      </c>
      <c r="G555" s="28" t="s">
        <v>97</v>
      </c>
      <c r="H555" s="28" t="s">
        <v>16</v>
      </c>
      <c r="I555" s="28" t="s">
        <v>16</v>
      </c>
      <c r="J555" s="28" t="s">
        <v>16</v>
      </c>
      <c r="K555" s="28" t="s">
        <v>76</v>
      </c>
      <c r="L555" s="29">
        <f t="shared" si="9"/>
        <v>63.629999999999995</v>
      </c>
    </row>
    <row r="556" spans="2:12" x14ac:dyDescent="0.25">
      <c r="B556" s="27">
        <v>45057</v>
      </c>
      <c r="C556" s="28" t="s">
        <v>38</v>
      </c>
      <c r="D556" s="28">
        <v>2023</v>
      </c>
      <c r="E556" s="28" t="s">
        <v>14</v>
      </c>
      <c r="F556" s="28">
        <v>3</v>
      </c>
      <c r="G556" s="28" t="s">
        <v>108</v>
      </c>
      <c r="H556" s="28" t="s">
        <v>16</v>
      </c>
      <c r="I556" s="28" t="s">
        <v>16</v>
      </c>
      <c r="J556" s="28" t="s">
        <v>16</v>
      </c>
      <c r="K556" s="28" t="s">
        <v>73</v>
      </c>
      <c r="L556" s="29">
        <f t="shared" si="9"/>
        <v>27.27</v>
      </c>
    </row>
    <row r="557" spans="2:12" x14ac:dyDescent="0.25">
      <c r="B557" s="27">
        <v>45064</v>
      </c>
      <c r="C557" s="28" t="s">
        <v>38</v>
      </c>
      <c r="D557" s="28">
        <v>2023</v>
      </c>
      <c r="E557" s="28" t="s">
        <v>14</v>
      </c>
      <c r="F557" s="28">
        <v>4</v>
      </c>
      <c r="G557" s="28" t="s">
        <v>94</v>
      </c>
      <c r="H557" s="28" t="s">
        <v>16</v>
      </c>
      <c r="I557" s="28" t="s">
        <v>16</v>
      </c>
      <c r="J557" s="28" t="s">
        <v>16</v>
      </c>
      <c r="K557" s="28" t="s">
        <v>73</v>
      </c>
      <c r="L557" s="29">
        <f t="shared" si="9"/>
        <v>36.36</v>
      </c>
    </row>
    <row r="558" spans="2:12" x14ac:dyDescent="0.25">
      <c r="B558" s="27">
        <v>45064</v>
      </c>
      <c r="C558" s="28" t="s">
        <v>38</v>
      </c>
      <c r="D558" s="28">
        <v>2023</v>
      </c>
      <c r="E558" s="28" t="s">
        <v>14</v>
      </c>
      <c r="F558" s="28">
        <v>3</v>
      </c>
      <c r="G558" s="28" t="s">
        <v>97</v>
      </c>
      <c r="H558" s="28" t="s">
        <v>16</v>
      </c>
      <c r="I558" s="28" t="s">
        <v>16</v>
      </c>
      <c r="J558" s="28" t="s">
        <v>16</v>
      </c>
      <c r="K558" s="28" t="s">
        <v>73</v>
      </c>
      <c r="L558" s="29">
        <f t="shared" ref="L558:L621" si="10">F558*9.09</f>
        <v>27.27</v>
      </c>
    </row>
    <row r="559" spans="2:12" x14ac:dyDescent="0.25">
      <c r="B559" s="27">
        <v>45064</v>
      </c>
      <c r="C559" s="28" t="s">
        <v>38</v>
      </c>
      <c r="D559" s="28">
        <v>2023</v>
      </c>
      <c r="E559" s="28" t="s">
        <v>14</v>
      </c>
      <c r="F559" s="28">
        <v>3</v>
      </c>
      <c r="G559" s="28" t="s">
        <v>97</v>
      </c>
      <c r="H559" s="28" t="s">
        <v>16</v>
      </c>
      <c r="I559" s="28" t="s">
        <v>16</v>
      </c>
      <c r="J559" s="28" t="s">
        <v>16</v>
      </c>
      <c r="K559" s="28" t="s">
        <v>73</v>
      </c>
      <c r="L559" s="29">
        <f t="shared" si="10"/>
        <v>27.27</v>
      </c>
    </row>
    <row r="560" spans="2:12" x14ac:dyDescent="0.25">
      <c r="B560" s="27">
        <v>45064</v>
      </c>
      <c r="C560" s="28" t="s">
        <v>38</v>
      </c>
      <c r="D560" s="28">
        <v>2023</v>
      </c>
      <c r="E560" s="28" t="s">
        <v>15</v>
      </c>
      <c r="F560" s="28">
        <v>1</v>
      </c>
      <c r="G560" s="28" t="s">
        <v>97</v>
      </c>
      <c r="H560" s="28" t="s">
        <v>16</v>
      </c>
      <c r="I560" s="28" t="s">
        <v>16</v>
      </c>
      <c r="J560" s="28" t="s">
        <v>16</v>
      </c>
      <c r="K560" s="28" t="s">
        <v>73</v>
      </c>
      <c r="L560" s="29">
        <f t="shared" si="10"/>
        <v>9.09</v>
      </c>
    </row>
    <row r="561" spans="2:12" x14ac:dyDescent="0.25">
      <c r="B561" s="27">
        <v>45064</v>
      </c>
      <c r="C561" s="28" t="s">
        <v>38</v>
      </c>
      <c r="D561" s="28">
        <v>2023</v>
      </c>
      <c r="E561" s="28" t="s">
        <v>15</v>
      </c>
      <c r="F561" s="28">
        <v>2</v>
      </c>
      <c r="G561" s="28" t="s">
        <v>93</v>
      </c>
      <c r="H561" s="28" t="s">
        <v>16</v>
      </c>
      <c r="I561" s="28" t="s">
        <v>16</v>
      </c>
      <c r="J561" s="28" t="s">
        <v>16</v>
      </c>
      <c r="K561" s="28" t="s">
        <v>75</v>
      </c>
      <c r="L561" s="29">
        <f t="shared" si="10"/>
        <v>18.18</v>
      </c>
    </row>
    <row r="562" spans="2:12" x14ac:dyDescent="0.25">
      <c r="B562" s="27">
        <v>45068</v>
      </c>
      <c r="C562" s="28" t="s">
        <v>38</v>
      </c>
      <c r="D562" s="28">
        <v>2023</v>
      </c>
      <c r="E562" s="28" t="s">
        <v>14</v>
      </c>
      <c r="F562" s="28">
        <v>3</v>
      </c>
      <c r="G562" s="28" t="s">
        <v>111</v>
      </c>
      <c r="H562" s="28" t="s">
        <v>16</v>
      </c>
      <c r="I562" s="28" t="s">
        <v>16</v>
      </c>
      <c r="J562" s="28" t="s">
        <v>16</v>
      </c>
      <c r="K562" s="28" t="s">
        <v>79</v>
      </c>
      <c r="L562" s="29">
        <f t="shared" si="10"/>
        <v>27.27</v>
      </c>
    </row>
    <row r="563" spans="2:12" x14ac:dyDescent="0.25">
      <c r="B563" s="27">
        <v>45071</v>
      </c>
      <c r="C563" s="28" t="s">
        <v>38</v>
      </c>
      <c r="D563" s="28">
        <v>2023</v>
      </c>
      <c r="E563" s="28" t="s">
        <v>14</v>
      </c>
      <c r="F563" s="28">
        <v>10</v>
      </c>
      <c r="G563" s="28" t="s">
        <v>93</v>
      </c>
      <c r="H563" s="28" t="s">
        <v>16</v>
      </c>
      <c r="I563" s="28" t="s">
        <v>16</v>
      </c>
      <c r="J563" s="28" t="s">
        <v>16</v>
      </c>
      <c r="K563" s="28" t="s">
        <v>76</v>
      </c>
      <c r="L563" s="29">
        <f t="shared" si="10"/>
        <v>90.9</v>
      </c>
    </row>
    <row r="564" spans="2:12" x14ac:dyDescent="0.25">
      <c r="B564" s="27">
        <v>45076</v>
      </c>
      <c r="C564" s="28" t="s">
        <v>38</v>
      </c>
      <c r="D564" s="28">
        <v>2023</v>
      </c>
      <c r="E564" s="28" t="s">
        <v>14</v>
      </c>
      <c r="F564" s="28">
        <v>6</v>
      </c>
      <c r="G564" s="28" t="s">
        <v>93</v>
      </c>
      <c r="H564" s="28" t="s">
        <v>16</v>
      </c>
      <c r="I564" s="28" t="s">
        <v>16</v>
      </c>
      <c r="J564" s="28" t="s">
        <v>16</v>
      </c>
      <c r="K564" s="28" t="s">
        <v>79</v>
      </c>
      <c r="L564" s="29">
        <f t="shared" si="10"/>
        <v>54.54</v>
      </c>
    </row>
    <row r="565" spans="2:12" x14ac:dyDescent="0.25">
      <c r="B565" s="27">
        <v>45076</v>
      </c>
      <c r="C565" s="28" t="s">
        <v>38</v>
      </c>
      <c r="D565" s="28">
        <v>2023</v>
      </c>
      <c r="E565" s="28" t="s">
        <v>14</v>
      </c>
      <c r="F565" s="28">
        <v>6</v>
      </c>
      <c r="G565" s="28" t="s">
        <v>93</v>
      </c>
      <c r="H565" s="28" t="s">
        <v>16</v>
      </c>
      <c r="I565" s="28" t="s">
        <v>16</v>
      </c>
      <c r="J565" s="28" t="s">
        <v>16</v>
      </c>
      <c r="K565" s="28" t="s">
        <v>75</v>
      </c>
      <c r="L565" s="29">
        <f t="shared" si="10"/>
        <v>54.54</v>
      </c>
    </row>
    <row r="566" spans="2:12" x14ac:dyDescent="0.25">
      <c r="B566" s="27">
        <v>45092</v>
      </c>
      <c r="C566" s="28" t="s">
        <v>39</v>
      </c>
      <c r="D566" s="28">
        <v>2023</v>
      </c>
      <c r="E566" s="28" t="s">
        <v>15</v>
      </c>
      <c r="F566" s="28">
        <v>9</v>
      </c>
      <c r="G566" s="28" t="s">
        <v>99</v>
      </c>
      <c r="H566" s="28" t="s">
        <v>16</v>
      </c>
      <c r="I566" s="28" t="s">
        <v>16</v>
      </c>
      <c r="J566" s="28" t="s">
        <v>16</v>
      </c>
      <c r="K566" s="28" t="s">
        <v>75</v>
      </c>
      <c r="L566" s="29">
        <f t="shared" si="10"/>
        <v>81.81</v>
      </c>
    </row>
    <row r="567" spans="2:12" x14ac:dyDescent="0.25">
      <c r="B567" s="27">
        <v>45096</v>
      </c>
      <c r="C567" s="28" t="s">
        <v>39</v>
      </c>
      <c r="D567" s="28">
        <v>2023</v>
      </c>
      <c r="E567" s="28" t="s">
        <v>14</v>
      </c>
      <c r="F567" s="28">
        <v>14</v>
      </c>
      <c r="G567" s="28" t="s">
        <v>108</v>
      </c>
      <c r="H567" s="28" t="s">
        <v>16</v>
      </c>
      <c r="I567" s="28" t="s">
        <v>16</v>
      </c>
      <c r="J567" s="28" t="s">
        <v>16</v>
      </c>
      <c r="K567" s="28" t="s">
        <v>79</v>
      </c>
      <c r="L567" s="29">
        <f t="shared" si="10"/>
        <v>127.25999999999999</v>
      </c>
    </row>
    <row r="568" spans="2:12" x14ac:dyDescent="0.25">
      <c r="B568" s="27">
        <v>45099</v>
      </c>
      <c r="C568" s="28" t="s">
        <v>39</v>
      </c>
      <c r="D568" s="28">
        <v>2023</v>
      </c>
      <c r="E568" s="28" t="s">
        <v>15</v>
      </c>
      <c r="F568" s="28">
        <v>2</v>
      </c>
      <c r="G568" s="28" t="s">
        <v>111</v>
      </c>
      <c r="H568" s="28" t="s">
        <v>16</v>
      </c>
      <c r="I568" s="28" t="s">
        <v>16</v>
      </c>
      <c r="J568" s="28" t="s">
        <v>16</v>
      </c>
      <c r="K568" s="28" t="s">
        <v>78</v>
      </c>
      <c r="L568" s="29">
        <f t="shared" si="10"/>
        <v>18.18</v>
      </c>
    </row>
    <row r="569" spans="2:12" x14ac:dyDescent="0.25">
      <c r="B569" s="27">
        <v>45099</v>
      </c>
      <c r="C569" s="28" t="s">
        <v>39</v>
      </c>
      <c r="D569" s="28">
        <v>2023</v>
      </c>
      <c r="E569" s="28" t="s">
        <v>14</v>
      </c>
      <c r="F569" s="28">
        <v>26</v>
      </c>
      <c r="G569" s="28" t="s">
        <v>93</v>
      </c>
      <c r="H569" s="28" t="s">
        <v>16</v>
      </c>
      <c r="I569" s="28" t="s">
        <v>16</v>
      </c>
      <c r="J569" s="28" t="s">
        <v>16</v>
      </c>
      <c r="K569" s="28" t="s">
        <v>78</v>
      </c>
      <c r="L569" s="29">
        <f t="shared" si="10"/>
        <v>236.34</v>
      </c>
    </row>
    <row r="570" spans="2:12" x14ac:dyDescent="0.25">
      <c r="B570" s="27">
        <v>45099</v>
      </c>
      <c r="C570" s="28" t="s">
        <v>39</v>
      </c>
      <c r="D570" s="28">
        <v>2023</v>
      </c>
      <c r="E570" s="28" t="s">
        <v>14</v>
      </c>
      <c r="F570" s="28">
        <v>26</v>
      </c>
      <c r="G570" s="28" t="s">
        <v>94</v>
      </c>
      <c r="H570" s="28" t="s">
        <v>16</v>
      </c>
      <c r="I570" s="28" t="s">
        <v>16</v>
      </c>
      <c r="J570" s="28" t="s">
        <v>16</v>
      </c>
      <c r="K570" s="28" t="s">
        <v>78</v>
      </c>
      <c r="L570" s="29">
        <f t="shared" si="10"/>
        <v>236.34</v>
      </c>
    </row>
    <row r="571" spans="2:12" x14ac:dyDescent="0.25">
      <c r="B571" s="27">
        <v>45099</v>
      </c>
      <c r="C571" s="28" t="s">
        <v>39</v>
      </c>
      <c r="D571" s="28">
        <v>2023</v>
      </c>
      <c r="E571" s="28" t="s">
        <v>14</v>
      </c>
      <c r="F571" s="28">
        <v>26</v>
      </c>
      <c r="G571" s="28" t="s">
        <v>99</v>
      </c>
      <c r="H571" s="28" t="s">
        <v>16</v>
      </c>
      <c r="I571" s="28" t="s">
        <v>16</v>
      </c>
      <c r="J571" s="28" t="s">
        <v>16</v>
      </c>
      <c r="K571" s="28" t="s">
        <v>78</v>
      </c>
      <c r="L571" s="29">
        <f t="shared" si="10"/>
        <v>236.34</v>
      </c>
    </row>
    <row r="572" spans="2:12" x14ac:dyDescent="0.25">
      <c r="B572" s="27">
        <v>45111</v>
      </c>
      <c r="C572" s="28" t="s">
        <v>40</v>
      </c>
      <c r="D572" s="28">
        <v>2023</v>
      </c>
      <c r="E572" s="28" t="s">
        <v>14</v>
      </c>
      <c r="F572" s="28">
        <v>26</v>
      </c>
      <c r="G572" s="28" t="s">
        <v>93</v>
      </c>
      <c r="H572" s="28" t="s">
        <v>16</v>
      </c>
      <c r="I572" s="28" t="s">
        <v>16</v>
      </c>
      <c r="J572" s="28" t="s">
        <v>16</v>
      </c>
      <c r="K572" s="28" t="s">
        <v>78</v>
      </c>
      <c r="L572" s="29">
        <f>F572*9.09</f>
        <v>236.34</v>
      </c>
    </row>
    <row r="573" spans="2:12" x14ac:dyDescent="0.25">
      <c r="B573" s="27">
        <v>45116</v>
      </c>
      <c r="C573" s="28" t="s">
        <v>40</v>
      </c>
      <c r="D573" s="28">
        <v>2023</v>
      </c>
      <c r="E573" s="28" t="s">
        <v>14</v>
      </c>
      <c r="F573" s="28">
        <v>26</v>
      </c>
      <c r="G573" s="28" t="s">
        <v>93</v>
      </c>
      <c r="H573" s="28" t="s">
        <v>16</v>
      </c>
      <c r="I573" s="28" t="s">
        <v>16</v>
      </c>
      <c r="J573" s="28" t="s">
        <v>16</v>
      </c>
      <c r="K573" s="28" t="s">
        <v>75</v>
      </c>
      <c r="L573" s="29">
        <f t="shared" si="10"/>
        <v>236.34</v>
      </c>
    </row>
    <row r="574" spans="2:12" x14ac:dyDescent="0.25">
      <c r="B574" s="27">
        <v>45117</v>
      </c>
      <c r="C574" s="28" t="s">
        <v>40</v>
      </c>
      <c r="D574" s="28">
        <v>2023</v>
      </c>
      <c r="E574" s="28" t="s">
        <v>14</v>
      </c>
      <c r="F574" s="28">
        <v>5</v>
      </c>
      <c r="G574" s="28" t="s">
        <v>93</v>
      </c>
      <c r="H574" s="28" t="s">
        <v>16</v>
      </c>
      <c r="I574" s="28" t="s">
        <v>16</v>
      </c>
      <c r="J574" s="28" t="s">
        <v>16</v>
      </c>
      <c r="K574" s="28" t="s">
        <v>79</v>
      </c>
      <c r="L574" s="29">
        <f t="shared" si="10"/>
        <v>45.45</v>
      </c>
    </row>
    <row r="575" spans="2:12" x14ac:dyDescent="0.25">
      <c r="B575" s="27">
        <v>45118</v>
      </c>
      <c r="C575" s="28" t="s">
        <v>40</v>
      </c>
      <c r="D575" s="28">
        <v>2023</v>
      </c>
      <c r="E575" s="28" t="s">
        <v>14</v>
      </c>
      <c r="F575" s="28">
        <v>5</v>
      </c>
      <c r="G575" s="28" t="s">
        <v>93</v>
      </c>
      <c r="H575" s="28" t="s">
        <v>16</v>
      </c>
      <c r="I575" s="28" t="s">
        <v>16</v>
      </c>
      <c r="J575" s="28" t="s">
        <v>16</v>
      </c>
      <c r="K575" s="28" t="s">
        <v>79</v>
      </c>
      <c r="L575" s="29">
        <f t="shared" si="10"/>
        <v>45.45</v>
      </c>
    </row>
    <row r="576" spans="2:12" x14ac:dyDescent="0.25">
      <c r="B576" s="27">
        <v>45120</v>
      </c>
      <c r="C576" s="28" t="s">
        <v>40</v>
      </c>
      <c r="D576" s="28">
        <v>2023</v>
      </c>
      <c r="E576" s="28" t="s">
        <v>14</v>
      </c>
      <c r="F576" s="28">
        <v>5</v>
      </c>
      <c r="G576" s="28" t="s">
        <v>99</v>
      </c>
      <c r="H576" s="28" t="s">
        <v>16</v>
      </c>
      <c r="I576" s="28" t="s">
        <v>16</v>
      </c>
      <c r="J576" s="28" t="s">
        <v>16</v>
      </c>
      <c r="K576" s="28" t="s">
        <v>78</v>
      </c>
      <c r="L576" s="29">
        <f t="shared" si="10"/>
        <v>45.45</v>
      </c>
    </row>
    <row r="577" spans="2:12" x14ac:dyDescent="0.25">
      <c r="B577" s="27">
        <v>45122</v>
      </c>
      <c r="C577" s="28" t="s">
        <v>40</v>
      </c>
      <c r="D577" s="28">
        <v>2023</v>
      </c>
      <c r="E577" s="28" t="s">
        <v>14</v>
      </c>
      <c r="F577" s="28">
        <v>28</v>
      </c>
      <c r="G577" s="28" t="s">
        <v>93</v>
      </c>
      <c r="H577" s="28" t="s">
        <v>16</v>
      </c>
      <c r="I577" s="28" t="s">
        <v>16</v>
      </c>
      <c r="J577" s="28" t="s">
        <v>16</v>
      </c>
      <c r="K577" s="28" t="s">
        <v>75</v>
      </c>
      <c r="L577" s="29">
        <f t="shared" si="10"/>
        <v>254.51999999999998</v>
      </c>
    </row>
    <row r="578" spans="2:12" x14ac:dyDescent="0.25">
      <c r="B578" s="27">
        <v>45127</v>
      </c>
      <c r="C578" s="28" t="s">
        <v>40</v>
      </c>
      <c r="D578" s="28">
        <v>2023</v>
      </c>
      <c r="E578" s="28" t="s">
        <v>14</v>
      </c>
      <c r="F578" s="28">
        <v>3</v>
      </c>
      <c r="G578" s="28" t="s">
        <v>94</v>
      </c>
      <c r="H578" s="28" t="s">
        <v>16</v>
      </c>
      <c r="I578" s="28" t="s">
        <v>16</v>
      </c>
      <c r="J578" s="28" t="s">
        <v>16</v>
      </c>
      <c r="K578" s="28" t="s">
        <v>78</v>
      </c>
      <c r="L578" s="29">
        <f t="shared" si="10"/>
        <v>27.27</v>
      </c>
    </row>
    <row r="579" spans="2:12" x14ac:dyDescent="0.25">
      <c r="B579" s="27">
        <v>45127</v>
      </c>
      <c r="C579" s="28" t="s">
        <v>40</v>
      </c>
      <c r="D579" s="28">
        <v>2023</v>
      </c>
      <c r="E579" s="28" t="s">
        <v>14</v>
      </c>
      <c r="F579" s="28">
        <v>12</v>
      </c>
      <c r="G579" s="28" t="s">
        <v>97</v>
      </c>
      <c r="H579" s="28" t="s">
        <v>16</v>
      </c>
      <c r="I579" s="28" t="s">
        <v>16</v>
      </c>
      <c r="J579" s="28" t="s">
        <v>16</v>
      </c>
      <c r="K579" s="28" t="s">
        <v>79</v>
      </c>
      <c r="L579" s="29">
        <f t="shared" si="10"/>
        <v>109.08</v>
      </c>
    </row>
    <row r="580" spans="2:12" x14ac:dyDescent="0.25">
      <c r="B580" s="27">
        <v>45134</v>
      </c>
      <c r="C580" s="28" t="s">
        <v>40</v>
      </c>
      <c r="D580" s="28">
        <v>2023</v>
      </c>
      <c r="E580" s="28" t="s">
        <v>14</v>
      </c>
      <c r="F580" s="28">
        <v>26</v>
      </c>
      <c r="G580" s="28" t="s">
        <v>93</v>
      </c>
      <c r="H580" s="28" t="s">
        <v>16</v>
      </c>
      <c r="I580" s="28" t="s">
        <v>16</v>
      </c>
      <c r="J580" s="28" t="s">
        <v>16</v>
      </c>
      <c r="K580" s="28" t="s">
        <v>75</v>
      </c>
      <c r="L580" s="29">
        <f t="shared" si="10"/>
        <v>236.34</v>
      </c>
    </row>
    <row r="581" spans="2:12" x14ac:dyDescent="0.25">
      <c r="B581" s="27">
        <v>45134</v>
      </c>
      <c r="C581" s="28" t="s">
        <v>40</v>
      </c>
      <c r="D581" s="28">
        <v>2023</v>
      </c>
      <c r="E581" s="28" t="s">
        <v>14</v>
      </c>
      <c r="F581" s="28">
        <v>26</v>
      </c>
      <c r="G581" s="28" t="s">
        <v>93</v>
      </c>
      <c r="H581" s="28" t="s">
        <v>16</v>
      </c>
      <c r="I581" s="28" t="s">
        <v>16</v>
      </c>
      <c r="J581" s="28" t="s">
        <v>16</v>
      </c>
      <c r="K581" s="28" t="s">
        <v>75</v>
      </c>
      <c r="L581" s="29">
        <f t="shared" si="10"/>
        <v>236.34</v>
      </c>
    </row>
    <row r="582" spans="2:12" x14ac:dyDescent="0.25">
      <c r="B582" s="27">
        <v>45135</v>
      </c>
      <c r="C582" s="28" t="s">
        <v>40</v>
      </c>
      <c r="D582" s="28">
        <v>2023</v>
      </c>
      <c r="E582" s="28" t="s">
        <v>14</v>
      </c>
      <c r="F582" s="28">
        <v>7</v>
      </c>
      <c r="G582" s="28" t="s">
        <v>97</v>
      </c>
      <c r="H582" s="28" t="s">
        <v>16</v>
      </c>
      <c r="I582" s="28" t="s">
        <v>16</v>
      </c>
      <c r="J582" s="28" t="s">
        <v>16</v>
      </c>
      <c r="K582" s="28" t="s">
        <v>79</v>
      </c>
      <c r="L582" s="29">
        <f t="shared" si="10"/>
        <v>63.629999999999995</v>
      </c>
    </row>
    <row r="583" spans="2:12" x14ac:dyDescent="0.25">
      <c r="B583" s="27">
        <v>45136</v>
      </c>
      <c r="C583" s="28" t="s">
        <v>40</v>
      </c>
      <c r="D583" s="28">
        <v>2023</v>
      </c>
      <c r="E583" s="28" t="s">
        <v>14</v>
      </c>
      <c r="F583" s="28">
        <v>26</v>
      </c>
      <c r="G583" s="28" t="s">
        <v>93</v>
      </c>
      <c r="H583" s="28" t="s">
        <v>16</v>
      </c>
      <c r="I583" s="28" t="s">
        <v>16</v>
      </c>
      <c r="J583" s="28" t="s">
        <v>16</v>
      </c>
      <c r="K583" s="28" t="s">
        <v>75</v>
      </c>
      <c r="L583" s="29">
        <f t="shared" si="10"/>
        <v>236.34</v>
      </c>
    </row>
    <row r="584" spans="2:12" x14ac:dyDescent="0.25">
      <c r="B584" s="27">
        <v>45141</v>
      </c>
      <c r="C584" s="28" t="s">
        <v>41</v>
      </c>
      <c r="D584" s="28">
        <v>2023</v>
      </c>
      <c r="E584" s="28" t="s">
        <v>14</v>
      </c>
      <c r="F584" s="28">
        <v>10</v>
      </c>
      <c r="G584" s="28" t="s">
        <v>94</v>
      </c>
      <c r="H584" s="28" t="s">
        <v>16</v>
      </c>
      <c r="I584" s="28" t="s">
        <v>16</v>
      </c>
      <c r="J584" s="28" t="s">
        <v>16</v>
      </c>
      <c r="K584" s="28" t="s">
        <v>76</v>
      </c>
      <c r="L584" s="29">
        <f t="shared" si="10"/>
        <v>90.9</v>
      </c>
    </row>
    <row r="585" spans="2:12" x14ac:dyDescent="0.25">
      <c r="B585" s="27">
        <v>45143</v>
      </c>
      <c r="C585" s="28" t="s">
        <v>41</v>
      </c>
      <c r="D585" s="28">
        <v>2023</v>
      </c>
      <c r="E585" s="28" t="s">
        <v>14</v>
      </c>
      <c r="F585" s="28">
        <v>26</v>
      </c>
      <c r="G585" s="28" t="s">
        <v>94</v>
      </c>
      <c r="H585" s="28" t="s">
        <v>16</v>
      </c>
      <c r="I585" s="28" t="s">
        <v>16</v>
      </c>
      <c r="J585" s="28" t="s">
        <v>16</v>
      </c>
      <c r="K585" s="28" t="s">
        <v>75</v>
      </c>
      <c r="L585" s="29">
        <f t="shared" si="10"/>
        <v>236.34</v>
      </c>
    </row>
    <row r="586" spans="2:12" x14ac:dyDescent="0.25">
      <c r="B586" s="27">
        <v>45143</v>
      </c>
      <c r="C586" s="28" t="s">
        <v>41</v>
      </c>
      <c r="D586" s="28">
        <v>2023</v>
      </c>
      <c r="E586" s="28" t="s">
        <v>14</v>
      </c>
      <c r="F586" s="28">
        <v>26</v>
      </c>
      <c r="G586" s="28" t="s">
        <v>93</v>
      </c>
      <c r="H586" s="28" t="s">
        <v>16</v>
      </c>
      <c r="I586" s="28" t="s">
        <v>16</v>
      </c>
      <c r="J586" s="28" t="s">
        <v>16</v>
      </c>
      <c r="K586" s="28" t="s">
        <v>83</v>
      </c>
      <c r="L586" s="29">
        <f t="shared" si="10"/>
        <v>236.34</v>
      </c>
    </row>
    <row r="587" spans="2:12" x14ac:dyDescent="0.25">
      <c r="B587" s="27">
        <v>45148</v>
      </c>
      <c r="C587" s="28" t="s">
        <v>41</v>
      </c>
      <c r="D587" s="28">
        <v>2023</v>
      </c>
      <c r="E587" s="28" t="s">
        <v>14</v>
      </c>
      <c r="F587" s="28">
        <v>6</v>
      </c>
      <c r="G587" s="28" t="s">
        <v>93</v>
      </c>
      <c r="H587" s="28" t="s">
        <v>16</v>
      </c>
      <c r="I587" s="28" t="s">
        <v>16</v>
      </c>
      <c r="J587" s="28" t="s">
        <v>16</v>
      </c>
      <c r="K587" s="28" t="s">
        <v>83</v>
      </c>
      <c r="L587" s="29">
        <f t="shared" si="10"/>
        <v>54.54</v>
      </c>
    </row>
    <row r="588" spans="2:12" x14ac:dyDescent="0.25">
      <c r="B588" s="27">
        <v>45150</v>
      </c>
      <c r="C588" s="28" t="s">
        <v>41</v>
      </c>
      <c r="D588" s="28">
        <v>2023</v>
      </c>
      <c r="E588" s="28" t="s">
        <v>14</v>
      </c>
      <c r="F588" s="28">
        <v>7</v>
      </c>
      <c r="G588" s="28" t="s">
        <v>93</v>
      </c>
      <c r="H588" s="28" t="s">
        <v>16</v>
      </c>
      <c r="I588" s="28" t="s">
        <v>16</v>
      </c>
      <c r="J588" s="28" t="s">
        <v>16</v>
      </c>
      <c r="K588" s="28" t="s">
        <v>78</v>
      </c>
      <c r="L588" s="29">
        <f t="shared" si="10"/>
        <v>63.629999999999995</v>
      </c>
    </row>
    <row r="589" spans="2:12" x14ac:dyDescent="0.25">
      <c r="B589" s="27">
        <v>45151</v>
      </c>
      <c r="C589" s="28" t="s">
        <v>41</v>
      </c>
      <c r="D589" s="28">
        <v>2023</v>
      </c>
      <c r="E589" s="28" t="s">
        <v>14</v>
      </c>
      <c r="F589" s="28">
        <v>26</v>
      </c>
      <c r="G589" s="28" t="s">
        <v>94</v>
      </c>
      <c r="H589" s="28" t="s">
        <v>16</v>
      </c>
      <c r="I589" s="28" t="s">
        <v>16</v>
      </c>
      <c r="J589" s="28" t="s">
        <v>16</v>
      </c>
      <c r="K589" s="28" t="s">
        <v>75</v>
      </c>
      <c r="L589" s="29">
        <f t="shared" si="10"/>
        <v>236.34</v>
      </c>
    </row>
    <row r="590" spans="2:12" x14ac:dyDescent="0.25">
      <c r="B590" s="27">
        <v>45152</v>
      </c>
      <c r="C590" s="28" t="s">
        <v>41</v>
      </c>
      <c r="D590" s="28">
        <v>2023</v>
      </c>
      <c r="E590" s="28" t="s">
        <v>15</v>
      </c>
      <c r="F590" s="28">
        <v>7</v>
      </c>
      <c r="G590" s="28" t="s">
        <v>111</v>
      </c>
      <c r="H590" s="28" t="s">
        <v>16</v>
      </c>
      <c r="I590" s="28" t="s">
        <v>16</v>
      </c>
      <c r="J590" s="28" t="s">
        <v>16</v>
      </c>
      <c r="K590" s="28" t="s">
        <v>76</v>
      </c>
      <c r="L590" s="29">
        <f t="shared" si="10"/>
        <v>63.629999999999995</v>
      </c>
    </row>
    <row r="591" spans="2:12" x14ac:dyDescent="0.25">
      <c r="B591" s="27">
        <v>45155</v>
      </c>
      <c r="C591" s="28" t="s">
        <v>41</v>
      </c>
      <c r="D591" s="28">
        <v>2023</v>
      </c>
      <c r="E591" s="28" t="s">
        <v>15</v>
      </c>
      <c r="F591" s="28">
        <v>3</v>
      </c>
      <c r="G591" s="28" t="s">
        <v>97</v>
      </c>
      <c r="H591" s="28" t="s">
        <v>16</v>
      </c>
      <c r="I591" s="28" t="s">
        <v>16</v>
      </c>
      <c r="J591" s="28" t="s">
        <v>16</v>
      </c>
      <c r="K591" s="28" t="s">
        <v>78</v>
      </c>
      <c r="L591" s="29">
        <f t="shared" si="10"/>
        <v>27.27</v>
      </c>
    </row>
    <row r="592" spans="2:12" x14ac:dyDescent="0.25">
      <c r="B592" s="27">
        <v>45156</v>
      </c>
      <c r="C592" s="28" t="s">
        <v>41</v>
      </c>
      <c r="D592" s="28">
        <v>2023</v>
      </c>
      <c r="E592" s="28" t="s">
        <v>14</v>
      </c>
      <c r="F592" s="28">
        <v>27</v>
      </c>
      <c r="G592" s="28" t="s">
        <v>93</v>
      </c>
      <c r="H592" s="28" t="s">
        <v>16</v>
      </c>
      <c r="I592" s="28" t="s">
        <v>16</v>
      </c>
      <c r="J592" s="28" t="s">
        <v>16</v>
      </c>
      <c r="K592" s="28" t="s">
        <v>78</v>
      </c>
      <c r="L592" s="29">
        <f t="shared" si="10"/>
        <v>245.43</v>
      </c>
    </row>
    <row r="593" spans="2:15" x14ac:dyDescent="0.25">
      <c r="B593" s="27">
        <v>45155</v>
      </c>
      <c r="C593" s="28" t="s">
        <v>41</v>
      </c>
      <c r="D593" s="28">
        <v>2023</v>
      </c>
      <c r="E593" s="28" t="s">
        <v>14</v>
      </c>
      <c r="F593" s="28">
        <v>2</v>
      </c>
      <c r="G593" s="28" t="s">
        <v>94</v>
      </c>
      <c r="H593" s="28" t="s">
        <v>16</v>
      </c>
      <c r="I593" s="28" t="s">
        <v>16</v>
      </c>
      <c r="J593" s="28" t="s">
        <v>16</v>
      </c>
      <c r="K593" s="28" t="s">
        <v>73</v>
      </c>
      <c r="L593" s="29">
        <f t="shared" si="10"/>
        <v>18.18</v>
      </c>
      <c r="O593" s="12"/>
    </row>
    <row r="594" spans="2:15" x14ac:dyDescent="0.25">
      <c r="B594" s="27">
        <v>45155</v>
      </c>
      <c r="C594" s="28" t="s">
        <v>41</v>
      </c>
      <c r="D594" s="28">
        <v>2023</v>
      </c>
      <c r="E594" s="28" t="s">
        <v>15</v>
      </c>
      <c r="F594" s="28">
        <v>5</v>
      </c>
      <c r="G594" s="28" t="s">
        <v>93</v>
      </c>
      <c r="H594" s="28" t="s">
        <v>16</v>
      </c>
      <c r="I594" s="28" t="s">
        <v>16</v>
      </c>
      <c r="J594" s="28" t="s">
        <v>16</v>
      </c>
      <c r="K594" s="28" t="s">
        <v>76</v>
      </c>
      <c r="L594" s="29">
        <f>F594*9.09</f>
        <v>45.45</v>
      </c>
      <c r="O594" s="12"/>
    </row>
    <row r="595" spans="2:15" x14ac:dyDescent="0.25">
      <c r="B595" s="27">
        <v>45156</v>
      </c>
      <c r="C595" s="28" t="s">
        <v>41</v>
      </c>
      <c r="D595" s="28">
        <v>2023</v>
      </c>
      <c r="E595" s="28" t="s">
        <v>14</v>
      </c>
      <c r="F595" s="28">
        <v>4</v>
      </c>
      <c r="G595" s="28" t="s">
        <v>94</v>
      </c>
      <c r="H595" s="28" t="s">
        <v>16</v>
      </c>
      <c r="I595" s="28" t="s">
        <v>16</v>
      </c>
      <c r="J595" s="28" t="s">
        <v>16</v>
      </c>
      <c r="K595" s="28" t="s">
        <v>75</v>
      </c>
      <c r="L595" s="29">
        <f t="shared" si="10"/>
        <v>36.36</v>
      </c>
    </row>
    <row r="596" spans="2:15" x14ac:dyDescent="0.25">
      <c r="B596" s="27">
        <v>45159</v>
      </c>
      <c r="C596" s="28" t="s">
        <v>41</v>
      </c>
      <c r="D596" s="28">
        <v>2023</v>
      </c>
      <c r="E596" s="28" t="s">
        <v>14</v>
      </c>
      <c r="F596" s="28">
        <v>24</v>
      </c>
      <c r="G596" s="28" t="s">
        <v>98</v>
      </c>
      <c r="H596" s="28" t="s">
        <v>16</v>
      </c>
      <c r="I596" s="28" t="s">
        <v>16</v>
      </c>
      <c r="J596" s="28" t="s">
        <v>16</v>
      </c>
      <c r="K596" s="28" t="s">
        <v>75</v>
      </c>
      <c r="L596" s="29">
        <f t="shared" si="10"/>
        <v>218.16</v>
      </c>
    </row>
    <row r="597" spans="2:15" x14ac:dyDescent="0.25">
      <c r="B597" s="27">
        <v>45165</v>
      </c>
      <c r="C597" s="28" t="s">
        <v>41</v>
      </c>
      <c r="D597" s="28">
        <v>2023</v>
      </c>
      <c r="E597" s="28" t="s">
        <v>15</v>
      </c>
      <c r="F597" s="28">
        <v>6</v>
      </c>
      <c r="G597" s="28" t="s">
        <v>111</v>
      </c>
      <c r="H597" s="28" t="s">
        <v>16</v>
      </c>
      <c r="I597" s="28" t="s">
        <v>16</v>
      </c>
      <c r="J597" s="28" t="s">
        <v>16</v>
      </c>
      <c r="K597" s="28" t="s">
        <v>79</v>
      </c>
      <c r="L597" s="29">
        <f t="shared" si="10"/>
        <v>54.54</v>
      </c>
    </row>
    <row r="598" spans="2:15" x14ac:dyDescent="0.25">
      <c r="B598" s="27">
        <v>45170</v>
      </c>
      <c r="C598" s="28" t="s">
        <v>42</v>
      </c>
      <c r="D598" s="28">
        <v>2023</v>
      </c>
      <c r="E598" s="28" t="s">
        <v>15</v>
      </c>
      <c r="F598" s="28">
        <v>6</v>
      </c>
      <c r="G598" s="28" t="s">
        <v>111</v>
      </c>
      <c r="H598" s="28" t="s">
        <v>16</v>
      </c>
      <c r="I598" s="28" t="s">
        <v>16</v>
      </c>
      <c r="J598" s="28" t="s">
        <v>16</v>
      </c>
      <c r="K598" s="28" t="s">
        <v>73</v>
      </c>
      <c r="L598" s="29">
        <f t="shared" si="10"/>
        <v>54.54</v>
      </c>
    </row>
    <row r="599" spans="2:15" x14ac:dyDescent="0.25">
      <c r="B599" s="27">
        <v>45171</v>
      </c>
      <c r="C599" s="28" t="s">
        <v>42</v>
      </c>
      <c r="D599" s="28">
        <v>2023</v>
      </c>
      <c r="E599" s="28" t="s">
        <v>14</v>
      </c>
      <c r="F599" s="28">
        <v>11</v>
      </c>
      <c r="G599" s="28" t="s">
        <v>93</v>
      </c>
      <c r="H599" s="28" t="s">
        <v>16</v>
      </c>
      <c r="I599" s="28" t="s">
        <v>16</v>
      </c>
      <c r="J599" s="28" t="s">
        <v>16</v>
      </c>
      <c r="K599" s="28" t="s">
        <v>75</v>
      </c>
      <c r="L599" s="29">
        <f t="shared" si="10"/>
        <v>99.99</v>
      </c>
    </row>
    <row r="600" spans="2:15" x14ac:dyDescent="0.25">
      <c r="B600" s="27">
        <v>45172</v>
      </c>
      <c r="C600" s="28" t="s">
        <v>42</v>
      </c>
      <c r="D600" s="28">
        <v>2023</v>
      </c>
      <c r="E600" s="28" t="s">
        <v>14</v>
      </c>
      <c r="F600" s="28">
        <v>26</v>
      </c>
      <c r="G600" s="28" t="s">
        <v>93</v>
      </c>
      <c r="H600" s="28" t="s">
        <v>16</v>
      </c>
      <c r="I600" s="28" t="s">
        <v>16</v>
      </c>
      <c r="J600" s="28" t="s">
        <v>16</v>
      </c>
      <c r="K600" s="28" t="s">
        <v>76</v>
      </c>
      <c r="L600" s="29">
        <f t="shared" si="10"/>
        <v>236.34</v>
      </c>
    </row>
    <row r="601" spans="2:15" x14ac:dyDescent="0.25">
      <c r="B601" s="27">
        <v>45187</v>
      </c>
      <c r="C601" s="28" t="s">
        <v>42</v>
      </c>
      <c r="D601" s="28">
        <v>2023</v>
      </c>
      <c r="E601" s="28" t="s">
        <v>14</v>
      </c>
      <c r="F601" s="28">
        <v>10</v>
      </c>
      <c r="G601" s="28" t="s">
        <v>93</v>
      </c>
      <c r="H601" s="28" t="s">
        <v>16</v>
      </c>
      <c r="I601" s="28" t="s">
        <v>16</v>
      </c>
      <c r="J601" s="28" t="s">
        <v>16</v>
      </c>
      <c r="K601" s="28" t="s">
        <v>75</v>
      </c>
      <c r="L601" s="29">
        <f t="shared" si="10"/>
        <v>90.9</v>
      </c>
    </row>
    <row r="602" spans="2:15" x14ac:dyDescent="0.25">
      <c r="B602" s="27">
        <v>45190</v>
      </c>
      <c r="C602" s="28" t="s">
        <v>42</v>
      </c>
      <c r="D602" s="28">
        <v>2023</v>
      </c>
      <c r="E602" s="28" t="s">
        <v>14</v>
      </c>
      <c r="F602" s="28">
        <v>7</v>
      </c>
      <c r="G602" s="28" t="s">
        <v>111</v>
      </c>
      <c r="H602" s="28" t="s">
        <v>16</v>
      </c>
      <c r="I602" s="28" t="s">
        <v>16</v>
      </c>
      <c r="J602" s="28" t="s">
        <v>16</v>
      </c>
      <c r="K602" s="28" t="s">
        <v>76</v>
      </c>
      <c r="L602" s="29">
        <f t="shared" si="10"/>
        <v>63.629999999999995</v>
      </c>
    </row>
    <row r="603" spans="2:15" x14ac:dyDescent="0.25">
      <c r="B603" s="27">
        <v>45190</v>
      </c>
      <c r="C603" s="28" t="s">
        <v>42</v>
      </c>
      <c r="D603" s="28">
        <v>2023</v>
      </c>
      <c r="E603" s="28" t="s">
        <v>14</v>
      </c>
      <c r="F603" s="28">
        <v>13</v>
      </c>
      <c r="G603" s="28" t="s">
        <v>93</v>
      </c>
      <c r="H603" s="28" t="s">
        <v>16</v>
      </c>
      <c r="I603" s="28" t="s">
        <v>16</v>
      </c>
      <c r="J603" s="28" t="s">
        <v>16</v>
      </c>
      <c r="K603" s="28" t="s">
        <v>75</v>
      </c>
      <c r="L603" s="29">
        <f t="shared" si="10"/>
        <v>118.17</v>
      </c>
    </row>
    <row r="604" spans="2:15" x14ac:dyDescent="0.25">
      <c r="B604" s="27">
        <v>45190</v>
      </c>
      <c r="C604" s="28" t="s">
        <v>42</v>
      </c>
      <c r="D604" s="28">
        <v>2023</v>
      </c>
      <c r="E604" s="28" t="s">
        <v>15</v>
      </c>
      <c r="F604" s="28">
        <v>4</v>
      </c>
      <c r="G604" s="28" t="s">
        <v>94</v>
      </c>
      <c r="H604" s="28" t="s">
        <v>16</v>
      </c>
      <c r="I604" s="28" t="s">
        <v>16</v>
      </c>
      <c r="J604" s="28" t="s">
        <v>16</v>
      </c>
      <c r="K604" s="28" t="s">
        <v>75</v>
      </c>
      <c r="L604" s="29">
        <f t="shared" si="10"/>
        <v>36.36</v>
      </c>
    </row>
    <row r="605" spans="2:15" x14ac:dyDescent="0.25">
      <c r="B605" s="27">
        <v>45190</v>
      </c>
      <c r="C605" s="28" t="s">
        <v>42</v>
      </c>
      <c r="D605" s="28">
        <v>2023</v>
      </c>
      <c r="E605" s="28" t="s">
        <v>15</v>
      </c>
      <c r="F605" s="28">
        <v>4</v>
      </c>
      <c r="G605" s="28" t="s">
        <v>111</v>
      </c>
      <c r="H605" s="28" t="s">
        <v>16</v>
      </c>
      <c r="I605" s="28" t="s">
        <v>16</v>
      </c>
      <c r="J605" s="28" t="s">
        <v>16</v>
      </c>
      <c r="K605" s="28" t="s">
        <v>75</v>
      </c>
      <c r="L605" s="29">
        <f t="shared" si="10"/>
        <v>36.36</v>
      </c>
    </row>
    <row r="606" spans="2:15" x14ac:dyDescent="0.25">
      <c r="B606" s="27">
        <v>45191</v>
      </c>
      <c r="C606" s="28" t="s">
        <v>42</v>
      </c>
      <c r="D606" s="28">
        <v>2023</v>
      </c>
      <c r="E606" s="28" t="s">
        <v>15</v>
      </c>
      <c r="F606" s="28">
        <v>4</v>
      </c>
      <c r="G606" s="28" t="s">
        <v>85</v>
      </c>
      <c r="H606" s="28" t="s">
        <v>16</v>
      </c>
      <c r="I606" s="28" t="s">
        <v>16</v>
      </c>
      <c r="J606" s="28" t="s">
        <v>16</v>
      </c>
      <c r="K606" s="28" t="s">
        <v>83</v>
      </c>
      <c r="L606" s="29">
        <f t="shared" si="10"/>
        <v>36.36</v>
      </c>
    </row>
    <row r="607" spans="2:15" x14ac:dyDescent="0.25">
      <c r="B607" s="27">
        <v>45191</v>
      </c>
      <c r="C607" s="28" t="s">
        <v>42</v>
      </c>
      <c r="D607" s="28">
        <v>2023</v>
      </c>
      <c r="E607" s="28" t="s">
        <v>15</v>
      </c>
      <c r="F607" s="28">
        <v>4</v>
      </c>
      <c r="G607" s="28" t="s">
        <v>111</v>
      </c>
      <c r="H607" s="28" t="s">
        <v>16</v>
      </c>
      <c r="I607" s="28" t="s">
        <v>16</v>
      </c>
      <c r="J607" s="28" t="s">
        <v>16</v>
      </c>
      <c r="K607" s="28" t="s">
        <v>83</v>
      </c>
      <c r="L607" s="29">
        <f t="shared" si="10"/>
        <v>36.36</v>
      </c>
    </row>
    <row r="608" spans="2:15" x14ac:dyDescent="0.25">
      <c r="B608" s="27">
        <v>45192</v>
      </c>
      <c r="C608" s="28" t="s">
        <v>42</v>
      </c>
      <c r="D608" s="28">
        <v>2023</v>
      </c>
      <c r="E608" s="28" t="s">
        <v>15</v>
      </c>
      <c r="F608" s="28">
        <v>4</v>
      </c>
      <c r="G608" s="28" t="s">
        <v>111</v>
      </c>
      <c r="H608" s="28" t="s">
        <v>16</v>
      </c>
      <c r="I608" s="28" t="s">
        <v>16</v>
      </c>
      <c r="J608" s="28" t="s">
        <v>16</v>
      </c>
      <c r="K608" s="28" t="s">
        <v>78</v>
      </c>
      <c r="L608" s="29">
        <f t="shared" si="10"/>
        <v>36.36</v>
      </c>
      <c r="O608" s="12"/>
    </row>
    <row r="609" spans="2:14" x14ac:dyDescent="0.25">
      <c r="B609" s="27">
        <v>45192</v>
      </c>
      <c r="C609" s="28" t="s">
        <v>42</v>
      </c>
      <c r="D609" s="28">
        <v>2023</v>
      </c>
      <c r="E609" s="28" t="s">
        <v>14</v>
      </c>
      <c r="F609" s="28">
        <v>6</v>
      </c>
      <c r="G609" s="28" t="s">
        <v>93</v>
      </c>
      <c r="H609" s="28" t="s">
        <v>16</v>
      </c>
      <c r="I609" s="28" t="s">
        <v>16</v>
      </c>
      <c r="J609" s="28" t="s">
        <v>16</v>
      </c>
      <c r="K609" s="28" t="s">
        <v>75</v>
      </c>
      <c r="L609" s="29">
        <f>F609*9.09</f>
        <v>54.54</v>
      </c>
    </row>
    <row r="610" spans="2:14" x14ac:dyDescent="0.25">
      <c r="B610" s="27">
        <v>45197</v>
      </c>
      <c r="C610" s="28" t="s">
        <v>42</v>
      </c>
      <c r="D610" s="28">
        <v>2023</v>
      </c>
      <c r="E610" s="28" t="s">
        <v>14</v>
      </c>
      <c r="F610" s="28">
        <v>10</v>
      </c>
      <c r="G610" s="28" t="s">
        <v>93</v>
      </c>
      <c r="H610" s="28" t="s">
        <v>16</v>
      </c>
      <c r="I610" s="28" t="s">
        <v>16</v>
      </c>
      <c r="J610" s="28" t="s">
        <v>16</v>
      </c>
      <c r="K610" s="28" t="s">
        <v>75</v>
      </c>
      <c r="L610" s="29">
        <f t="shared" si="10"/>
        <v>90.9</v>
      </c>
    </row>
    <row r="611" spans="2:14" x14ac:dyDescent="0.25">
      <c r="B611" s="27">
        <v>45207</v>
      </c>
      <c r="C611" s="28" t="s">
        <v>43</v>
      </c>
      <c r="D611" s="28">
        <v>2023</v>
      </c>
      <c r="E611" s="28" t="s">
        <v>14</v>
      </c>
      <c r="F611" s="28">
        <v>6</v>
      </c>
      <c r="G611" s="28" t="s">
        <v>111</v>
      </c>
      <c r="H611" s="28" t="s">
        <v>16</v>
      </c>
      <c r="I611" s="28" t="s">
        <v>16</v>
      </c>
      <c r="J611" s="28" t="s">
        <v>16</v>
      </c>
      <c r="K611" s="28" t="s">
        <v>75</v>
      </c>
      <c r="L611" s="29">
        <f>F611*9.09</f>
        <v>54.54</v>
      </c>
    </row>
    <row r="612" spans="2:14" x14ac:dyDescent="0.25">
      <c r="B612" s="27">
        <v>45212</v>
      </c>
      <c r="C612" s="28" t="s">
        <v>43</v>
      </c>
      <c r="D612" s="28">
        <v>2023</v>
      </c>
      <c r="E612" s="28" t="s">
        <v>15</v>
      </c>
      <c r="F612" s="28">
        <v>4</v>
      </c>
      <c r="G612" s="28" t="s">
        <v>97</v>
      </c>
      <c r="H612" s="28" t="s">
        <v>16</v>
      </c>
      <c r="I612" s="28" t="s">
        <v>16</v>
      </c>
      <c r="J612" s="28" t="s">
        <v>16</v>
      </c>
      <c r="K612" s="28" t="s">
        <v>78</v>
      </c>
      <c r="L612" s="29">
        <f t="shared" si="10"/>
        <v>36.36</v>
      </c>
    </row>
    <row r="613" spans="2:14" x14ac:dyDescent="0.25">
      <c r="B613" s="27">
        <v>45213</v>
      </c>
      <c r="C613" s="28" t="s">
        <v>43</v>
      </c>
      <c r="D613" s="28">
        <v>2023</v>
      </c>
      <c r="E613" s="28" t="s">
        <v>15</v>
      </c>
      <c r="F613" s="28">
        <v>7</v>
      </c>
      <c r="G613" s="28" t="s">
        <v>93</v>
      </c>
      <c r="H613" s="28" t="s">
        <v>16</v>
      </c>
      <c r="I613" s="28" t="s">
        <v>16</v>
      </c>
      <c r="J613" s="28" t="s">
        <v>16</v>
      </c>
      <c r="K613" s="28" t="s">
        <v>79</v>
      </c>
      <c r="L613" s="29">
        <f t="shared" si="10"/>
        <v>63.629999999999995</v>
      </c>
    </row>
    <row r="614" spans="2:14" x14ac:dyDescent="0.25">
      <c r="B614" s="27">
        <v>45213</v>
      </c>
      <c r="C614" s="28" t="s">
        <v>43</v>
      </c>
      <c r="D614" s="28">
        <v>2023</v>
      </c>
      <c r="E614" s="28" t="s">
        <v>14</v>
      </c>
      <c r="F614" s="28">
        <v>10</v>
      </c>
      <c r="G614" s="28" t="s">
        <v>94</v>
      </c>
      <c r="H614" s="28" t="s">
        <v>16</v>
      </c>
      <c r="I614" s="28" t="s">
        <v>16</v>
      </c>
      <c r="J614" s="28" t="s">
        <v>16</v>
      </c>
      <c r="K614" s="28" t="s">
        <v>79</v>
      </c>
      <c r="L614" s="29">
        <f t="shared" si="10"/>
        <v>90.9</v>
      </c>
    </row>
    <row r="615" spans="2:14" x14ac:dyDescent="0.25">
      <c r="B615" s="27">
        <v>45218</v>
      </c>
      <c r="C615" s="28" t="s">
        <v>43</v>
      </c>
      <c r="D615" s="28">
        <v>2023</v>
      </c>
      <c r="E615" s="28" t="s">
        <v>14</v>
      </c>
      <c r="F615" s="28">
        <v>4</v>
      </c>
      <c r="G615" s="28" t="s">
        <v>111</v>
      </c>
      <c r="H615" s="28" t="s">
        <v>16</v>
      </c>
      <c r="I615" s="28" t="s">
        <v>16</v>
      </c>
      <c r="J615" s="28" t="s">
        <v>16</v>
      </c>
      <c r="K615" s="28" t="s">
        <v>78</v>
      </c>
      <c r="L615" s="29">
        <f t="shared" si="10"/>
        <v>36.36</v>
      </c>
      <c r="N615" s="13"/>
    </row>
    <row r="616" spans="2:14" x14ac:dyDescent="0.25">
      <c r="B616" s="27">
        <v>45225</v>
      </c>
      <c r="C616" s="28" t="s">
        <v>43</v>
      </c>
      <c r="D616" s="28">
        <v>2023</v>
      </c>
      <c r="E616" s="28" t="s">
        <v>14</v>
      </c>
      <c r="F616" s="28">
        <v>28</v>
      </c>
      <c r="G616" s="28" t="s">
        <v>108</v>
      </c>
      <c r="H616" s="28" t="s">
        <v>16</v>
      </c>
      <c r="I616" s="28" t="s">
        <v>16</v>
      </c>
      <c r="J616" s="28" t="s">
        <v>16</v>
      </c>
      <c r="K616" s="28" t="s">
        <v>78</v>
      </c>
      <c r="L616" s="29">
        <f t="shared" si="10"/>
        <v>254.51999999999998</v>
      </c>
    </row>
    <row r="617" spans="2:14" x14ac:dyDescent="0.25">
      <c r="B617" s="27">
        <v>45225</v>
      </c>
      <c r="C617" s="28" t="s">
        <v>43</v>
      </c>
      <c r="D617" s="28">
        <v>2023</v>
      </c>
      <c r="E617" s="28" t="s">
        <v>14</v>
      </c>
      <c r="F617" s="28">
        <v>26</v>
      </c>
      <c r="G617" s="28" t="s">
        <v>94</v>
      </c>
      <c r="H617" s="28" t="s">
        <v>16</v>
      </c>
      <c r="I617" s="28" t="s">
        <v>16</v>
      </c>
      <c r="J617" s="28" t="s">
        <v>16</v>
      </c>
      <c r="K617" s="28" t="s">
        <v>78</v>
      </c>
      <c r="L617" s="29">
        <f t="shared" si="10"/>
        <v>236.34</v>
      </c>
    </row>
    <row r="618" spans="2:14" x14ac:dyDescent="0.25">
      <c r="B618" s="27">
        <v>45226</v>
      </c>
      <c r="C618" s="28" t="s">
        <v>43</v>
      </c>
      <c r="D618" s="28">
        <v>2023</v>
      </c>
      <c r="E618" s="28" t="s">
        <v>15</v>
      </c>
      <c r="F618" s="28">
        <v>8</v>
      </c>
      <c r="G618" s="28" t="s">
        <v>111</v>
      </c>
      <c r="H618" s="28" t="s">
        <v>16</v>
      </c>
      <c r="I618" s="28" t="s">
        <v>16</v>
      </c>
      <c r="J618" s="28" t="s">
        <v>16</v>
      </c>
      <c r="K618" s="28" t="s">
        <v>73</v>
      </c>
      <c r="L618" s="29">
        <f>F618*9.09</f>
        <v>72.72</v>
      </c>
    </row>
    <row r="619" spans="2:14" x14ac:dyDescent="0.25">
      <c r="B619" s="27">
        <v>45226</v>
      </c>
      <c r="C619" s="28" t="s">
        <v>43</v>
      </c>
      <c r="D619" s="28">
        <v>2023</v>
      </c>
      <c r="E619" s="28" t="s">
        <v>15</v>
      </c>
      <c r="F619" s="28">
        <v>4</v>
      </c>
      <c r="G619" s="28" t="s">
        <v>85</v>
      </c>
      <c r="H619" s="28" t="s">
        <v>16</v>
      </c>
      <c r="I619" s="28" t="s">
        <v>16</v>
      </c>
      <c r="J619" s="28" t="s">
        <v>16</v>
      </c>
      <c r="K619" s="28" t="s">
        <v>78</v>
      </c>
      <c r="L619" s="29">
        <f t="shared" si="10"/>
        <v>36.36</v>
      </c>
    </row>
    <row r="620" spans="2:14" x14ac:dyDescent="0.25">
      <c r="B620" s="27">
        <v>45228</v>
      </c>
      <c r="C620" s="28" t="s">
        <v>43</v>
      </c>
      <c r="D620" s="28">
        <v>2023</v>
      </c>
      <c r="E620" s="28" t="s">
        <v>14</v>
      </c>
      <c r="F620" s="28">
        <v>3</v>
      </c>
      <c r="G620" s="28" t="s">
        <v>94</v>
      </c>
      <c r="H620" s="28" t="s">
        <v>16</v>
      </c>
      <c r="I620" s="28" t="s">
        <v>16</v>
      </c>
      <c r="J620" s="28" t="s">
        <v>16</v>
      </c>
      <c r="K620" s="28" t="s">
        <v>79</v>
      </c>
      <c r="L620" s="29">
        <f t="shared" si="10"/>
        <v>27.27</v>
      </c>
      <c r="N620" s="15"/>
    </row>
    <row r="621" spans="2:14" x14ac:dyDescent="0.25">
      <c r="B621" s="27">
        <v>45228</v>
      </c>
      <c r="C621" s="28" t="s">
        <v>43</v>
      </c>
      <c r="D621" s="28">
        <v>2023</v>
      </c>
      <c r="E621" s="28" t="s">
        <v>15</v>
      </c>
      <c r="F621" s="28">
        <v>3</v>
      </c>
      <c r="G621" s="28" t="s">
        <v>93</v>
      </c>
      <c r="H621" s="28" t="s">
        <v>16</v>
      </c>
      <c r="I621" s="28" t="s">
        <v>16</v>
      </c>
      <c r="J621" s="28" t="s">
        <v>16</v>
      </c>
      <c r="K621" s="28" t="s">
        <v>79</v>
      </c>
      <c r="L621" s="29">
        <f t="shared" si="10"/>
        <v>27.27</v>
      </c>
    </row>
    <row r="622" spans="2:14" x14ac:dyDescent="0.25">
      <c r="B622" s="27">
        <v>45229</v>
      </c>
      <c r="C622" s="28" t="s">
        <v>43</v>
      </c>
      <c r="D622" s="28">
        <v>2023</v>
      </c>
      <c r="E622" s="28" t="s">
        <v>14</v>
      </c>
      <c r="F622" s="28">
        <v>8</v>
      </c>
      <c r="G622" s="28" t="s">
        <v>93</v>
      </c>
      <c r="H622" s="28" t="s">
        <v>16</v>
      </c>
      <c r="I622" s="28" t="s">
        <v>16</v>
      </c>
      <c r="J622" s="28" t="s">
        <v>16</v>
      </c>
      <c r="K622" s="28" t="s">
        <v>79</v>
      </c>
      <c r="L622" s="29">
        <f t="shared" ref="L622:L676" si="11">F622*9.09</f>
        <v>72.72</v>
      </c>
    </row>
    <row r="623" spans="2:14" x14ac:dyDescent="0.25">
      <c r="B623" s="27">
        <v>45230</v>
      </c>
      <c r="C623" s="28" t="s">
        <v>43</v>
      </c>
      <c r="D623" s="28">
        <v>2023</v>
      </c>
      <c r="E623" s="28" t="s">
        <v>15</v>
      </c>
      <c r="F623" s="28">
        <v>5</v>
      </c>
      <c r="G623" s="28" t="s">
        <v>94</v>
      </c>
      <c r="H623" s="28" t="s">
        <v>16</v>
      </c>
      <c r="I623" s="28" t="s">
        <v>16</v>
      </c>
      <c r="J623" s="28" t="s">
        <v>16</v>
      </c>
      <c r="K623" s="28" t="s">
        <v>75</v>
      </c>
      <c r="L623" s="29">
        <f t="shared" si="11"/>
        <v>45.45</v>
      </c>
    </row>
    <row r="624" spans="2:14" x14ac:dyDescent="0.25">
      <c r="B624" s="27">
        <v>45234</v>
      </c>
      <c r="C624" s="28" t="s">
        <v>44</v>
      </c>
      <c r="D624" s="28">
        <v>2023</v>
      </c>
      <c r="E624" s="28" t="s">
        <v>15</v>
      </c>
      <c r="F624" s="28">
        <v>6</v>
      </c>
      <c r="G624" s="28" t="s">
        <v>111</v>
      </c>
      <c r="H624" s="28" t="s">
        <v>16</v>
      </c>
      <c r="I624" s="28" t="s">
        <v>16</v>
      </c>
      <c r="J624" s="28" t="s">
        <v>16</v>
      </c>
      <c r="K624" s="28" t="s">
        <v>75</v>
      </c>
      <c r="L624" s="29">
        <f t="shared" ref="L624:L660" si="12">F624*9.09</f>
        <v>54.54</v>
      </c>
    </row>
    <row r="625" spans="2:14" x14ac:dyDescent="0.25">
      <c r="B625" s="27">
        <v>45239</v>
      </c>
      <c r="C625" s="28" t="s">
        <v>44</v>
      </c>
      <c r="D625" s="28">
        <v>2023</v>
      </c>
      <c r="E625" s="28" t="s">
        <v>14</v>
      </c>
      <c r="F625" s="28">
        <v>8</v>
      </c>
      <c r="G625" s="28" t="s">
        <v>94</v>
      </c>
      <c r="H625" s="28" t="s">
        <v>16</v>
      </c>
      <c r="I625" s="28" t="s">
        <v>16</v>
      </c>
      <c r="J625" s="28" t="s">
        <v>16</v>
      </c>
      <c r="K625" s="28" t="s">
        <v>79</v>
      </c>
      <c r="L625" s="29">
        <f t="shared" si="12"/>
        <v>72.72</v>
      </c>
    </row>
    <row r="626" spans="2:14" x14ac:dyDescent="0.25">
      <c r="B626" s="27">
        <v>45239</v>
      </c>
      <c r="C626" s="28" t="s">
        <v>44</v>
      </c>
      <c r="D626" s="28">
        <v>2023</v>
      </c>
      <c r="E626" s="28" t="s">
        <v>14</v>
      </c>
      <c r="F626" s="28">
        <v>10</v>
      </c>
      <c r="G626" s="28" t="s">
        <v>108</v>
      </c>
      <c r="H626" s="28" t="s">
        <v>16</v>
      </c>
      <c r="I626" s="28" t="s">
        <v>16</v>
      </c>
      <c r="J626" s="28" t="s">
        <v>16</v>
      </c>
      <c r="K626" s="28" t="s">
        <v>75</v>
      </c>
      <c r="L626" s="29">
        <f t="shared" si="12"/>
        <v>90.9</v>
      </c>
    </row>
    <row r="627" spans="2:14" x14ac:dyDescent="0.25">
      <c r="B627" s="27">
        <v>45240</v>
      </c>
      <c r="C627" s="28" t="s">
        <v>44</v>
      </c>
      <c r="D627" s="28">
        <v>2023</v>
      </c>
      <c r="E627" s="28" t="s">
        <v>14</v>
      </c>
      <c r="F627" s="28">
        <v>7</v>
      </c>
      <c r="G627" s="28" t="s">
        <v>108</v>
      </c>
      <c r="H627" s="28" t="s">
        <v>16</v>
      </c>
      <c r="I627" s="28" t="s">
        <v>16</v>
      </c>
      <c r="J627" s="28" t="s">
        <v>16</v>
      </c>
      <c r="K627" s="28" t="s">
        <v>75</v>
      </c>
      <c r="L627" s="29">
        <f t="shared" si="12"/>
        <v>63.629999999999995</v>
      </c>
    </row>
    <row r="628" spans="2:14" x14ac:dyDescent="0.25">
      <c r="B628" s="27">
        <v>45240</v>
      </c>
      <c r="C628" s="28" t="s">
        <v>44</v>
      </c>
      <c r="D628" s="28">
        <v>2023</v>
      </c>
      <c r="E628" s="28" t="s">
        <v>15</v>
      </c>
      <c r="F628" s="28">
        <v>4</v>
      </c>
      <c r="G628" s="28" t="s">
        <v>111</v>
      </c>
      <c r="H628" s="28" t="s">
        <v>16</v>
      </c>
      <c r="I628" s="28" t="s">
        <v>16</v>
      </c>
      <c r="J628" s="28" t="s">
        <v>16</v>
      </c>
      <c r="K628" s="28" t="s">
        <v>81</v>
      </c>
      <c r="L628" s="29">
        <f t="shared" si="12"/>
        <v>36.36</v>
      </c>
    </row>
    <row r="629" spans="2:14" x14ac:dyDescent="0.25">
      <c r="B629" s="27">
        <v>45241</v>
      </c>
      <c r="C629" s="28" t="s">
        <v>44</v>
      </c>
      <c r="D629" s="28">
        <v>2023</v>
      </c>
      <c r="E629" s="28" t="s">
        <v>15</v>
      </c>
      <c r="F629" s="28">
        <v>5</v>
      </c>
      <c r="G629" s="28" t="s">
        <v>111</v>
      </c>
      <c r="H629" s="28" t="s">
        <v>16</v>
      </c>
      <c r="I629" s="28" t="s">
        <v>16</v>
      </c>
      <c r="J629" s="28" t="s">
        <v>16</v>
      </c>
      <c r="K629" s="28" t="s">
        <v>76</v>
      </c>
      <c r="L629" s="29">
        <f t="shared" si="12"/>
        <v>45.45</v>
      </c>
      <c r="N629" s="16"/>
    </row>
    <row r="630" spans="2:14" x14ac:dyDescent="0.25">
      <c r="B630" s="27">
        <v>45246</v>
      </c>
      <c r="C630" s="28" t="s">
        <v>44</v>
      </c>
      <c r="D630" s="28">
        <v>2023</v>
      </c>
      <c r="E630" s="28" t="s">
        <v>15</v>
      </c>
      <c r="F630" s="28">
        <v>6</v>
      </c>
      <c r="G630" s="28" t="s">
        <v>108</v>
      </c>
      <c r="H630" s="28" t="s">
        <v>16</v>
      </c>
      <c r="I630" s="28" t="s">
        <v>16</v>
      </c>
      <c r="J630" s="28" t="s">
        <v>16</v>
      </c>
      <c r="K630" s="28" t="s">
        <v>76</v>
      </c>
      <c r="L630" s="29">
        <f t="shared" si="12"/>
        <v>54.54</v>
      </c>
      <c r="N630" s="16"/>
    </row>
    <row r="631" spans="2:14" x14ac:dyDescent="0.25">
      <c r="B631" s="27">
        <v>45247</v>
      </c>
      <c r="C631" s="28" t="s">
        <v>44</v>
      </c>
      <c r="D631" s="28">
        <v>2023</v>
      </c>
      <c r="E631" s="28" t="s">
        <v>15</v>
      </c>
      <c r="F631" s="28">
        <v>4</v>
      </c>
      <c r="G631" s="28" t="s">
        <v>85</v>
      </c>
      <c r="H631" s="28" t="s">
        <v>16</v>
      </c>
      <c r="I631" s="28" t="s">
        <v>16</v>
      </c>
      <c r="J631" s="28" t="s">
        <v>16</v>
      </c>
      <c r="K631" s="28" t="s">
        <v>76</v>
      </c>
      <c r="L631" s="29">
        <f t="shared" si="12"/>
        <v>36.36</v>
      </c>
    </row>
    <row r="632" spans="2:14" x14ac:dyDescent="0.25">
      <c r="B632" s="27">
        <v>45247</v>
      </c>
      <c r="C632" s="28" t="s">
        <v>44</v>
      </c>
      <c r="D632" s="28">
        <v>2023</v>
      </c>
      <c r="E632" s="28" t="s">
        <v>15</v>
      </c>
      <c r="F632" s="28">
        <v>4</v>
      </c>
      <c r="G632" s="28" t="s">
        <v>85</v>
      </c>
      <c r="H632" s="28" t="s">
        <v>16</v>
      </c>
      <c r="I632" s="28" t="s">
        <v>16</v>
      </c>
      <c r="J632" s="28" t="s">
        <v>16</v>
      </c>
      <c r="K632" s="28" t="s">
        <v>76</v>
      </c>
      <c r="L632" s="29">
        <f t="shared" si="12"/>
        <v>36.36</v>
      </c>
      <c r="N632" s="16"/>
    </row>
    <row r="633" spans="2:14" x14ac:dyDescent="0.25">
      <c r="B633" s="27">
        <v>45247</v>
      </c>
      <c r="C633" s="28" t="s">
        <v>44</v>
      </c>
      <c r="D633" s="28">
        <v>2023</v>
      </c>
      <c r="E633" s="28" t="s">
        <v>14</v>
      </c>
      <c r="F633" s="28">
        <v>26</v>
      </c>
      <c r="G633" s="28" t="s">
        <v>85</v>
      </c>
      <c r="H633" s="28" t="s">
        <v>16</v>
      </c>
      <c r="I633" s="28" t="s">
        <v>16</v>
      </c>
      <c r="J633" s="28" t="s">
        <v>16</v>
      </c>
      <c r="K633" s="28" t="s">
        <v>81</v>
      </c>
      <c r="L633" s="29">
        <f t="shared" si="12"/>
        <v>236.34</v>
      </c>
    </row>
    <row r="634" spans="2:14" x14ac:dyDescent="0.25">
      <c r="B634" s="27">
        <v>45247</v>
      </c>
      <c r="C634" s="28" t="s">
        <v>44</v>
      </c>
      <c r="D634" s="28">
        <v>2023</v>
      </c>
      <c r="E634" s="28" t="s">
        <v>14</v>
      </c>
      <c r="F634" s="28">
        <v>6</v>
      </c>
      <c r="G634" s="28" t="s">
        <v>97</v>
      </c>
      <c r="H634" s="28" t="s">
        <v>16</v>
      </c>
      <c r="I634" s="28" t="s">
        <v>16</v>
      </c>
      <c r="J634" s="28" t="s">
        <v>16</v>
      </c>
      <c r="K634" s="28" t="s">
        <v>79</v>
      </c>
      <c r="L634" s="29">
        <f t="shared" si="12"/>
        <v>54.54</v>
      </c>
    </row>
    <row r="635" spans="2:14" x14ac:dyDescent="0.25">
      <c r="B635" s="27">
        <v>45249</v>
      </c>
      <c r="C635" s="28" t="s">
        <v>44</v>
      </c>
      <c r="D635" s="28">
        <v>2023</v>
      </c>
      <c r="E635" s="28" t="s">
        <v>14</v>
      </c>
      <c r="F635" s="28">
        <v>10</v>
      </c>
      <c r="G635" s="28" t="s">
        <v>108</v>
      </c>
      <c r="H635" s="28" t="s">
        <v>16</v>
      </c>
      <c r="I635" s="28" t="s">
        <v>16</v>
      </c>
      <c r="J635" s="28" t="s">
        <v>16</v>
      </c>
      <c r="K635" s="28" t="s">
        <v>76</v>
      </c>
      <c r="L635" s="29">
        <f t="shared" si="12"/>
        <v>90.9</v>
      </c>
    </row>
    <row r="636" spans="2:14" x14ac:dyDescent="0.25">
      <c r="B636" s="27">
        <v>45254</v>
      </c>
      <c r="C636" s="28" t="s">
        <v>44</v>
      </c>
      <c r="D636" s="28">
        <v>2023</v>
      </c>
      <c r="E636" s="28" t="s">
        <v>15</v>
      </c>
      <c r="F636" s="28">
        <v>5</v>
      </c>
      <c r="G636" s="28" t="s">
        <v>111</v>
      </c>
      <c r="H636" s="28" t="s">
        <v>16</v>
      </c>
      <c r="I636" s="28" t="s">
        <v>16</v>
      </c>
      <c r="J636" s="28" t="s">
        <v>16</v>
      </c>
      <c r="K636" s="28" t="s">
        <v>73</v>
      </c>
      <c r="L636" s="29">
        <f t="shared" si="12"/>
        <v>45.45</v>
      </c>
    </row>
    <row r="637" spans="2:14" x14ac:dyDescent="0.25">
      <c r="B637" s="27">
        <v>45255</v>
      </c>
      <c r="C637" s="28" t="s">
        <v>44</v>
      </c>
      <c r="D637" s="28">
        <v>2023</v>
      </c>
      <c r="E637" s="28" t="s">
        <v>15</v>
      </c>
      <c r="F637" s="28">
        <v>6</v>
      </c>
      <c r="G637" s="28" t="s">
        <v>98</v>
      </c>
      <c r="H637" s="28" t="s">
        <v>16</v>
      </c>
      <c r="I637" s="28" t="s">
        <v>16</v>
      </c>
      <c r="J637" s="28" t="s">
        <v>16</v>
      </c>
      <c r="K637" s="28" t="s">
        <v>76</v>
      </c>
      <c r="L637" s="29">
        <f t="shared" si="12"/>
        <v>54.54</v>
      </c>
    </row>
    <row r="638" spans="2:14" x14ac:dyDescent="0.25">
      <c r="B638" s="27">
        <v>45255</v>
      </c>
      <c r="C638" s="28" t="s">
        <v>44</v>
      </c>
      <c r="D638" s="28">
        <v>2023</v>
      </c>
      <c r="E638" s="28" t="s">
        <v>14</v>
      </c>
      <c r="F638" s="28">
        <v>10</v>
      </c>
      <c r="G638" s="28" t="s">
        <v>94</v>
      </c>
      <c r="H638" s="28" t="s">
        <v>16</v>
      </c>
      <c r="I638" s="28" t="s">
        <v>16</v>
      </c>
      <c r="J638" s="28" t="s">
        <v>16</v>
      </c>
      <c r="K638" s="28" t="s">
        <v>73</v>
      </c>
      <c r="L638" s="29">
        <f t="shared" si="12"/>
        <v>90.9</v>
      </c>
    </row>
    <row r="639" spans="2:14" x14ac:dyDescent="0.25">
      <c r="B639" s="27">
        <v>45256</v>
      </c>
      <c r="C639" s="28" t="s">
        <v>44</v>
      </c>
      <c r="D639" s="28">
        <v>2023</v>
      </c>
      <c r="E639" s="28" t="s">
        <v>15</v>
      </c>
      <c r="F639" s="28">
        <v>8</v>
      </c>
      <c r="G639" s="28" t="s">
        <v>94</v>
      </c>
      <c r="H639" s="28" t="s">
        <v>16</v>
      </c>
      <c r="I639" s="28" t="s">
        <v>16</v>
      </c>
      <c r="J639" s="28" t="s">
        <v>16</v>
      </c>
      <c r="K639" s="28" t="s">
        <v>76</v>
      </c>
      <c r="L639" s="29">
        <f t="shared" si="12"/>
        <v>72.72</v>
      </c>
    </row>
    <row r="640" spans="2:14" x14ac:dyDescent="0.25">
      <c r="B640" s="27">
        <v>45260</v>
      </c>
      <c r="C640" s="28" t="s">
        <v>44</v>
      </c>
      <c r="D640" s="28">
        <v>2023</v>
      </c>
      <c r="E640" s="28" t="s">
        <v>14</v>
      </c>
      <c r="F640" s="28">
        <v>26</v>
      </c>
      <c r="G640" s="28" t="s">
        <v>108</v>
      </c>
      <c r="H640" s="28" t="s">
        <v>16</v>
      </c>
      <c r="I640" s="28" t="s">
        <v>16</v>
      </c>
      <c r="J640" s="28" t="s">
        <v>16</v>
      </c>
      <c r="K640" s="28" t="s">
        <v>76</v>
      </c>
      <c r="L640" s="29">
        <f>F640*9.09</f>
        <v>236.34</v>
      </c>
    </row>
    <row r="641" spans="2:14" x14ac:dyDescent="0.25">
      <c r="B641" s="27">
        <v>45261</v>
      </c>
      <c r="C641" s="28" t="s">
        <v>45</v>
      </c>
      <c r="D641" s="28">
        <v>2023</v>
      </c>
      <c r="E641" s="28" t="s">
        <v>14</v>
      </c>
      <c r="F641" s="28">
        <v>10</v>
      </c>
      <c r="G641" s="28" t="s">
        <v>108</v>
      </c>
      <c r="H641" s="28" t="s">
        <v>16</v>
      </c>
      <c r="I641" s="28" t="s">
        <v>16</v>
      </c>
      <c r="J641" s="28" t="s">
        <v>16</v>
      </c>
      <c r="K641" s="28" t="s">
        <v>75</v>
      </c>
      <c r="L641" s="29">
        <f>F641*9.09</f>
        <v>90.9</v>
      </c>
    </row>
    <row r="642" spans="2:14" x14ac:dyDescent="0.25">
      <c r="B642" s="27">
        <v>45263</v>
      </c>
      <c r="C642" s="28" t="s">
        <v>45</v>
      </c>
      <c r="D642" s="28">
        <v>2023</v>
      </c>
      <c r="E642" s="28" t="s">
        <v>15</v>
      </c>
      <c r="F642" s="28">
        <v>8</v>
      </c>
      <c r="G642" s="28" t="s">
        <v>108</v>
      </c>
      <c r="H642" s="28" t="s">
        <v>16</v>
      </c>
      <c r="I642" s="28" t="s">
        <v>16</v>
      </c>
      <c r="J642" s="28" t="s">
        <v>16</v>
      </c>
      <c r="K642" s="28" t="s">
        <v>76</v>
      </c>
      <c r="L642" s="29">
        <f>F642*9.09</f>
        <v>72.72</v>
      </c>
    </row>
    <row r="643" spans="2:14" x14ac:dyDescent="0.25">
      <c r="B643" s="27">
        <v>45264</v>
      </c>
      <c r="C643" s="28" t="s">
        <v>45</v>
      </c>
      <c r="D643" s="28">
        <v>2023</v>
      </c>
      <c r="E643" s="28" t="s">
        <v>14</v>
      </c>
      <c r="F643" s="28">
        <v>26</v>
      </c>
      <c r="G643" s="28" t="s">
        <v>93</v>
      </c>
      <c r="H643" s="28" t="s">
        <v>16</v>
      </c>
      <c r="I643" s="28" t="s">
        <v>16</v>
      </c>
      <c r="J643" s="28" t="s">
        <v>16</v>
      </c>
      <c r="K643" s="28" t="s">
        <v>79</v>
      </c>
      <c r="L643" s="29">
        <f>F643*9.09</f>
        <v>236.34</v>
      </c>
    </row>
    <row r="644" spans="2:14" x14ac:dyDescent="0.25">
      <c r="B644" s="27">
        <v>45267</v>
      </c>
      <c r="C644" s="28" t="s">
        <v>45</v>
      </c>
      <c r="D644" s="28">
        <v>2023</v>
      </c>
      <c r="E644" s="28" t="s">
        <v>15</v>
      </c>
      <c r="F644" s="28">
        <v>6</v>
      </c>
      <c r="G644" s="28" t="s">
        <v>99</v>
      </c>
      <c r="H644" s="28" t="s">
        <v>16</v>
      </c>
      <c r="I644" s="28" t="s">
        <v>16</v>
      </c>
      <c r="J644" s="28" t="s">
        <v>16</v>
      </c>
      <c r="K644" s="28" t="s">
        <v>78</v>
      </c>
      <c r="L644" s="29">
        <f t="shared" si="12"/>
        <v>54.54</v>
      </c>
    </row>
    <row r="645" spans="2:14" x14ac:dyDescent="0.25">
      <c r="B645" s="27">
        <v>45268</v>
      </c>
      <c r="C645" s="28" t="s">
        <v>45</v>
      </c>
      <c r="D645" s="28">
        <v>2023</v>
      </c>
      <c r="E645" s="28" t="s">
        <v>14</v>
      </c>
      <c r="F645" s="28">
        <v>10</v>
      </c>
      <c r="G645" s="28" t="s">
        <v>93</v>
      </c>
      <c r="H645" s="28" t="s">
        <v>16</v>
      </c>
      <c r="I645" s="28" t="s">
        <v>16</v>
      </c>
      <c r="J645" s="28" t="s">
        <v>16</v>
      </c>
      <c r="K645" s="28" t="s">
        <v>73</v>
      </c>
      <c r="L645" s="29">
        <f t="shared" si="12"/>
        <v>90.9</v>
      </c>
    </row>
    <row r="646" spans="2:14" x14ac:dyDescent="0.25">
      <c r="B646" s="27">
        <v>45268</v>
      </c>
      <c r="C646" s="28" t="s">
        <v>45</v>
      </c>
      <c r="D646" s="28">
        <v>2023</v>
      </c>
      <c r="E646" s="28" t="s">
        <v>15</v>
      </c>
      <c r="F646" s="28">
        <v>20</v>
      </c>
      <c r="G646" s="28" t="s">
        <v>98</v>
      </c>
      <c r="H646" s="28" t="s">
        <v>16</v>
      </c>
      <c r="I646" s="28" t="s">
        <v>16</v>
      </c>
      <c r="J646" s="28" t="s">
        <v>16</v>
      </c>
      <c r="K646" s="28" t="s">
        <v>76</v>
      </c>
      <c r="L646" s="29">
        <f t="shared" si="12"/>
        <v>181.8</v>
      </c>
      <c r="N646" s="16"/>
    </row>
    <row r="647" spans="2:14" x14ac:dyDescent="0.25">
      <c r="B647" s="27">
        <v>45281</v>
      </c>
      <c r="C647" s="28" t="s">
        <v>45</v>
      </c>
      <c r="D647" s="28">
        <v>2023</v>
      </c>
      <c r="E647" s="28" t="s">
        <v>15</v>
      </c>
      <c r="F647" s="28">
        <v>26</v>
      </c>
      <c r="G647" s="28" t="s">
        <v>99</v>
      </c>
      <c r="H647" s="28" t="s">
        <v>16</v>
      </c>
      <c r="I647" s="28" t="s">
        <v>16</v>
      </c>
      <c r="J647" s="28" t="s">
        <v>16</v>
      </c>
      <c r="K647" s="28" t="s">
        <v>76</v>
      </c>
      <c r="L647" s="29">
        <f t="shared" si="12"/>
        <v>236.34</v>
      </c>
    </row>
    <row r="648" spans="2:14" x14ac:dyDescent="0.25">
      <c r="B648" s="27">
        <v>45282</v>
      </c>
      <c r="C648" s="28" t="s">
        <v>45</v>
      </c>
      <c r="D648" s="28">
        <v>2023</v>
      </c>
      <c r="E648" s="28" t="s">
        <v>15</v>
      </c>
      <c r="F648" s="28">
        <v>4</v>
      </c>
      <c r="G648" s="28" t="s">
        <v>93</v>
      </c>
      <c r="H648" s="28" t="s">
        <v>16</v>
      </c>
      <c r="I648" s="28" t="s">
        <v>16</v>
      </c>
      <c r="J648" s="28" t="s">
        <v>16</v>
      </c>
      <c r="K648" s="28" t="s">
        <v>78</v>
      </c>
      <c r="L648" s="29">
        <f t="shared" si="12"/>
        <v>36.36</v>
      </c>
    </row>
    <row r="649" spans="2:14" x14ac:dyDescent="0.25">
      <c r="B649" s="27">
        <v>45286</v>
      </c>
      <c r="C649" s="28" t="s">
        <v>45</v>
      </c>
      <c r="D649" s="28">
        <v>2023</v>
      </c>
      <c r="E649" s="28" t="s">
        <v>15</v>
      </c>
      <c r="F649" s="28">
        <v>8</v>
      </c>
      <c r="G649" s="28" t="s">
        <v>111</v>
      </c>
      <c r="H649" s="28" t="s">
        <v>16</v>
      </c>
      <c r="I649" s="28" t="s">
        <v>16</v>
      </c>
      <c r="J649" s="28" t="s">
        <v>16</v>
      </c>
      <c r="K649" s="28" t="s">
        <v>81</v>
      </c>
      <c r="L649" s="29">
        <f t="shared" si="12"/>
        <v>72.72</v>
      </c>
    </row>
    <row r="650" spans="2:14" x14ac:dyDescent="0.25">
      <c r="B650" s="27">
        <v>45286</v>
      </c>
      <c r="C650" s="28" t="s">
        <v>45</v>
      </c>
      <c r="D650" s="28">
        <v>2023</v>
      </c>
      <c r="E650" s="28" t="s">
        <v>15</v>
      </c>
      <c r="F650" s="28">
        <v>4</v>
      </c>
      <c r="G650" s="28" t="s">
        <v>97</v>
      </c>
      <c r="H650" s="28" t="s">
        <v>16</v>
      </c>
      <c r="I650" s="28" t="s">
        <v>16</v>
      </c>
      <c r="J650" s="28" t="s">
        <v>16</v>
      </c>
      <c r="K650" s="28" t="s">
        <v>81</v>
      </c>
      <c r="L650" s="29">
        <f t="shared" si="12"/>
        <v>36.36</v>
      </c>
    </row>
    <row r="651" spans="2:14" x14ac:dyDescent="0.25">
      <c r="B651" s="27">
        <v>45288</v>
      </c>
      <c r="C651" s="28" t="s">
        <v>45</v>
      </c>
      <c r="D651" s="28">
        <v>2023</v>
      </c>
      <c r="E651" s="28" t="s">
        <v>15</v>
      </c>
      <c r="F651" s="28">
        <v>3</v>
      </c>
      <c r="G651" s="28" t="s">
        <v>85</v>
      </c>
      <c r="H651" s="28" t="s">
        <v>16</v>
      </c>
      <c r="I651" s="28" t="s">
        <v>16</v>
      </c>
      <c r="J651" s="28" t="s">
        <v>16</v>
      </c>
      <c r="K651" s="28" t="s">
        <v>75</v>
      </c>
      <c r="L651" s="29">
        <f t="shared" si="12"/>
        <v>27.27</v>
      </c>
    </row>
    <row r="652" spans="2:14" x14ac:dyDescent="0.25">
      <c r="B652" s="27">
        <v>45288</v>
      </c>
      <c r="C652" s="28" t="s">
        <v>45</v>
      </c>
      <c r="D652" s="28">
        <v>2023</v>
      </c>
      <c r="E652" s="28" t="s">
        <v>15</v>
      </c>
      <c r="F652" s="28">
        <v>5</v>
      </c>
      <c r="G652" s="28" t="s">
        <v>108</v>
      </c>
      <c r="H652" s="28" t="s">
        <v>16</v>
      </c>
      <c r="I652" s="28" t="s">
        <v>16</v>
      </c>
      <c r="J652" s="28" t="s">
        <v>16</v>
      </c>
      <c r="K652" s="28" t="s">
        <v>81</v>
      </c>
      <c r="L652" s="29">
        <f t="shared" si="12"/>
        <v>45.45</v>
      </c>
    </row>
    <row r="653" spans="2:14" x14ac:dyDescent="0.25">
      <c r="B653" s="27">
        <v>45293</v>
      </c>
      <c r="C653" s="28" t="s">
        <v>33</v>
      </c>
      <c r="D653" s="28">
        <v>2024</v>
      </c>
      <c r="E653" s="28" t="s">
        <v>14</v>
      </c>
      <c r="F653" s="28">
        <v>8</v>
      </c>
      <c r="G653" s="28" t="s">
        <v>94</v>
      </c>
      <c r="H653" s="28" t="s">
        <v>16</v>
      </c>
      <c r="I653" s="28" t="s">
        <v>16</v>
      </c>
      <c r="J653" s="28" t="s">
        <v>16</v>
      </c>
      <c r="K653" s="28" t="s">
        <v>78</v>
      </c>
      <c r="L653" s="29">
        <f t="shared" si="12"/>
        <v>72.72</v>
      </c>
    </row>
    <row r="654" spans="2:14" x14ac:dyDescent="0.25">
      <c r="B654" s="27">
        <v>45293</v>
      </c>
      <c r="C654" s="28" t="s">
        <v>33</v>
      </c>
      <c r="D654" s="28">
        <v>2024</v>
      </c>
      <c r="E654" s="28" t="s">
        <v>15</v>
      </c>
      <c r="F654" s="28">
        <v>6</v>
      </c>
      <c r="G654" s="28" t="s">
        <v>111</v>
      </c>
      <c r="H654" s="28" t="s">
        <v>16</v>
      </c>
      <c r="I654" s="28" t="s">
        <v>16</v>
      </c>
      <c r="J654" s="28" t="s">
        <v>16</v>
      </c>
      <c r="K654" s="28" t="s">
        <v>78</v>
      </c>
      <c r="L654" s="29">
        <f t="shared" si="12"/>
        <v>54.54</v>
      </c>
      <c r="N654" s="16"/>
    </row>
    <row r="655" spans="2:14" x14ac:dyDescent="0.25">
      <c r="B655" s="27">
        <v>45293</v>
      </c>
      <c r="C655" s="28" t="s">
        <v>33</v>
      </c>
      <c r="D655" s="28">
        <v>2024</v>
      </c>
      <c r="E655" s="28" t="s">
        <v>15</v>
      </c>
      <c r="F655" s="28">
        <v>2</v>
      </c>
      <c r="G655" s="28" t="s">
        <v>85</v>
      </c>
      <c r="H655" s="28" t="s">
        <v>16</v>
      </c>
      <c r="I655" s="28" t="s">
        <v>16</v>
      </c>
      <c r="J655" s="28" t="s">
        <v>16</v>
      </c>
      <c r="K655" s="28" t="s">
        <v>78</v>
      </c>
      <c r="L655" s="29">
        <f t="shared" si="12"/>
        <v>18.18</v>
      </c>
    </row>
    <row r="656" spans="2:14" x14ac:dyDescent="0.25">
      <c r="B656" s="27">
        <v>45302</v>
      </c>
      <c r="C656" s="28" t="s">
        <v>33</v>
      </c>
      <c r="D656" s="28">
        <v>2024</v>
      </c>
      <c r="E656" s="28" t="s">
        <v>14</v>
      </c>
      <c r="F656" s="28">
        <v>26</v>
      </c>
      <c r="G656" s="28" t="s">
        <v>94</v>
      </c>
      <c r="H656" s="28" t="s">
        <v>16</v>
      </c>
      <c r="I656" s="28" t="s">
        <v>16</v>
      </c>
      <c r="J656" s="28" t="s">
        <v>16</v>
      </c>
      <c r="K656" s="28" t="s">
        <v>75</v>
      </c>
      <c r="L656" s="29">
        <f t="shared" si="12"/>
        <v>236.34</v>
      </c>
    </row>
    <row r="657" spans="2:12" x14ac:dyDescent="0.25">
      <c r="B657" s="27">
        <v>45302</v>
      </c>
      <c r="C657" s="28" t="s">
        <v>33</v>
      </c>
      <c r="D657" s="28">
        <v>2024</v>
      </c>
      <c r="E657" s="28" t="s">
        <v>14</v>
      </c>
      <c r="F657" s="28">
        <v>26</v>
      </c>
      <c r="G657" s="28" t="s">
        <v>97</v>
      </c>
      <c r="H657" s="28" t="s">
        <v>16</v>
      </c>
      <c r="I657" s="28" t="s">
        <v>16</v>
      </c>
      <c r="J657" s="28" t="s">
        <v>16</v>
      </c>
      <c r="K657" s="28" t="s">
        <v>75</v>
      </c>
      <c r="L657" s="29">
        <f t="shared" si="12"/>
        <v>236.34</v>
      </c>
    </row>
    <row r="658" spans="2:12" x14ac:dyDescent="0.25">
      <c r="B658" s="27">
        <v>45304</v>
      </c>
      <c r="C658" s="28" t="s">
        <v>33</v>
      </c>
      <c r="D658" s="28">
        <v>2024</v>
      </c>
      <c r="E658" s="28" t="s">
        <v>15</v>
      </c>
      <c r="F658" s="28">
        <v>2</v>
      </c>
      <c r="G658" s="28" t="s">
        <v>111</v>
      </c>
      <c r="H658" s="28" t="s">
        <v>16</v>
      </c>
      <c r="I658" s="28" t="s">
        <v>16</v>
      </c>
      <c r="J658" s="28" t="s">
        <v>16</v>
      </c>
      <c r="K658" s="28" t="s">
        <v>73</v>
      </c>
      <c r="L658" s="29">
        <f t="shared" si="12"/>
        <v>18.18</v>
      </c>
    </row>
    <row r="659" spans="2:12" x14ac:dyDescent="0.25">
      <c r="B659" s="27">
        <v>45304</v>
      </c>
      <c r="C659" s="28" t="s">
        <v>33</v>
      </c>
      <c r="D659" s="28">
        <v>2024</v>
      </c>
      <c r="E659" s="28" t="s">
        <v>14</v>
      </c>
      <c r="F659" s="28">
        <v>7</v>
      </c>
      <c r="G659" s="28" t="s">
        <v>111</v>
      </c>
      <c r="H659" s="28" t="s">
        <v>16</v>
      </c>
      <c r="I659" s="28" t="s">
        <v>16</v>
      </c>
      <c r="J659" s="28" t="s">
        <v>16</v>
      </c>
      <c r="K659" s="28" t="s">
        <v>73</v>
      </c>
      <c r="L659" s="29">
        <f t="shared" si="12"/>
        <v>63.629999999999995</v>
      </c>
    </row>
    <row r="660" spans="2:12" x14ac:dyDescent="0.25">
      <c r="B660" s="27">
        <v>45305</v>
      </c>
      <c r="C660" s="28" t="s">
        <v>33</v>
      </c>
      <c r="D660" s="28">
        <v>2024</v>
      </c>
      <c r="E660" s="28" t="s">
        <v>14</v>
      </c>
      <c r="F660" s="28">
        <v>7</v>
      </c>
      <c r="G660" s="28" t="s">
        <v>111</v>
      </c>
      <c r="H660" s="28" t="s">
        <v>16</v>
      </c>
      <c r="I660" s="28" t="s">
        <v>16</v>
      </c>
      <c r="J660" s="28" t="s">
        <v>16</v>
      </c>
      <c r="K660" s="28" t="s">
        <v>78</v>
      </c>
      <c r="L660" s="29">
        <f t="shared" si="12"/>
        <v>63.629999999999995</v>
      </c>
    </row>
    <row r="661" spans="2:12" x14ac:dyDescent="0.25">
      <c r="B661" s="27">
        <v>45309</v>
      </c>
      <c r="C661" s="28" t="s">
        <v>33</v>
      </c>
      <c r="D661" s="28">
        <v>2024</v>
      </c>
      <c r="E661" s="28" t="s">
        <v>14</v>
      </c>
      <c r="F661" s="28">
        <v>14</v>
      </c>
      <c r="G661" s="28" t="s">
        <v>97</v>
      </c>
      <c r="H661" s="28" t="s">
        <v>16</v>
      </c>
      <c r="I661" s="28" t="s">
        <v>16</v>
      </c>
      <c r="J661" s="28" t="s">
        <v>16</v>
      </c>
      <c r="K661" s="28" t="s">
        <v>74</v>
      </c>
      <c r="L661" s="29">
        <f>F661*9.09</f>
        <v>127.25999999999999</v>
      </c>
    </row>
    <row r="662" spans="2:12" x14ac:dyDescent="0.25">
      <c r="B662" s="27">
        <v>45309</v>
      </c>
      <c r="C662" s="28" t="s">
        <v>33</v>
      </c>
      <c r="D662" s="28">
        <v>2024</v>
      </c>
      <c r="E662" s="28" t="s">
        <v>15</v>
      </c>
      <c r="F662" s="28">
        <v>3</v>
      </c>
      <c r="G662" s="28" t="s">
        <v>94</v>
      </c>
      <c r="H662" s="28" t="s">
        <v>16</v>
      </c>
      <c r="I662" s="28" t="s">
        <v>16</v>
      </c>
      <c r="J662" s="28" t="s">
        <v>16</v>
      </c>
      <c r="K662" s="28" t="s">
        <v>76</v>
      </c>
      <c r="L662" s="29">
        <f>F662*9.09</f>
        <v>27.27</v>
      </c>
    </row>
    <row r="663" spans="2:12" x14ac:dyDescent="0.25">
      <c r="B663" s="27">
        <v>45316</v>
      </c>
      <c r="C663" s="28" t="s">
        <v>33</v>
      </c>
      <c r="D663" s="28">
        <v>2024</v>
      </c>
      <c r="E663" s="28" t="s">
        <v>14</v>
      </c>
      <c r="F663" s="28">
        <v>13</v>
      </c>
      <c r="G663" s="28" t="s">
        <v>93</v>
      </c>
      <c r="H663" s="28" t="s">
        <v>16</v>
      </c>
      <c r="I663" s="28" t="s">
        <v>16</v>
      </c>
      <c r="J663" s="28" t="s">
        <v>16</v>
      </c>
      <c r="K663" s="28" t="s">
        <v>73</v>
      </c>
      <c r="L663" s="29">
        <f t="shared" si="11"/>
        <v>118.17</v>
      </c>
    </row>
    <row r="664" spans="2:12" x14ac:dyDescent="0.25">
      <c r="B664" s="27">
        <v>45316</v>
      </c>
      <c r="C664" s="28" t="s">
        <v>33</v>
      </c>
      <c r="D664" s="28">
        <v>2024</v>
      </c>
      <c r="E664" s="28" t="s">
        <v>15</v>
      </c>
      <c r="F664" s="28">
        <v>10</v>
      </c>
      <c r="G664" s="28" t="s">
        <v>111</v>
      </c>
      <c r="H664" s="28" t="s">
        <v>16</v>
      </c>
      <c r="I664" s="28" t="s">
        <v>16</v>
      </c>
      <c r="J664" s="28" t="s">
        <v>16</v>
      </c>
      <c r="K664" s="28" t="s">
        <v>78</v>
      </c>
      <c r="L664" s="29">
        <f t="shared" si="11"/>
        <v>90.9</v>
      </c>
    </row>
    <row r="665" spans="2:12" x14ac:dyDescent="0.25">
      <c r="B665" s="27">
        <v>45316</v>
      </c>
      <c r="C665" s="28" t="s">
        <v>33</v>
      </c>
      <c r="D665" s="28">
        <v>2024</v>
      </c>
      <c r="E665" s="28" t="s">
        <v>14</v>
      </c>
      <c r="F665" s="28">
        <v>26</v>
      </c>
      <c r="G665" s="28" t="s">
        <v>97</v>
      </c>
      <c r="H665" s="28" t="s">
        <v>16</v>
      </c>
      <c r="I665" s="28" t="s">
        <v>16</v>
      </c>
      <c r="J665" s="28" t="s">
        <v>16</v>
      </c>
      <c r="K665" s="28" t="s">
        <v>76</v>
      </c>
      <c r="L665" s="29">
        <f t="shared" si="11"/>
        <v>236.34</v>
      </c>
    </row>
    <row r="666" spans="2:12" x14ac:dyDescent="0.25">
      <c r="B666" s="27">
        <v>45324</v>
      </c>
      <c r="C666" s="28" t="s">
        <v>35</v>
      </c>
      <c r="D666" s="28">
        <v>2024</v>
      </c>
      <c r="E666" s="28" t="s">
        <v>15</v>
      </c>
      <c r="F666" s="28">
        <v>5</v>
      </c>
      <c r="G666" s="28" t="s">
        <v>97</v>
      </c>
      <c r="H666" s="28" t="s">
        <v>16</v>
      </c>
      <c r="I666" s="28" t="s">
        <v>16</v>
      </c>
      <c r="J666" s="28" t="s">
        <v>16</v>
      </c>
      <c r="K666" s="28" t="s">
        <v>81</v>
      </c>
      <c r="L666" s="29">
        <f t="shared" si="11"/>
        <v>45.45</v>
      </c>
    </row>
    <row r="667" spans="2:12" x14ac:dyDescent="0.25">
      <c r="B667" s="27">
        <v>45330</v>
      </c>
      <c r="C667" s="28" t="s">
        <v>35</v>
      </c>
      <c r="D667" s="28">
        <v>2024</v>
      </c>
      <c r="E667" s="28" t="s">
        <v>14</v>
      </c>
      <c r="F667" s="28">
        <v>5</v>
      </c>
      <c r="G667" s="28" t="s">
        <v>97</v>
      </c>
      <c r="H667" s="28" t="s">
        <v>16</v>
      </c>
      <c r="I667" s="28" t="s">
        <v>16</v>
      </c>
      <c r="J667" s="28" t="s">
        <v>16</v>
      </c>
      <c r="K667" s="28" t="s">
        <v>78</v>
      </c>
      <c r="L667" s="29">
        <f t="shared" si="11"/>
        <v>45.45</v>
      </c>
    </row>
    <row r="668" spans="2:12" x14ac:dyDescent="0.25">
      <c r="B668" s="27">
        <v>45331</v>
      </c>
      <c r="C668" s="28" t="s">
        <v>35</v>
      </c>
      <c r="D668" s="28">
        <v>2024</v>
      </c>
      <c r="E668" s="28" t="s">
        <v>14</v>
      </c>
      <c r="F668" s="28">
        <v>6</v>
      </c>
      <c r="G668" s="28" t="s">
        <v>97</v>
      </c>
      <c r="H668" s="28" t="s">
        <v>16</v>
      </c>
      <c r="I668" s="28" t="s">
        <v>16</v>
      </c>
      <c r="J668" s="28" t="s">
        <v>16</v>
      </c>
      <c r="K668" s="28" t="s">
        <v>75</v>
      </c>
      <c r="L668" s="29">
        <f t="shared" si="11"/>
        <v>54.54</v>
      </c>
    </row>
    <row r="669" spans="2:12" x14ac:dyDescent="0.25">
      <c r="B669" s="27">
        <v>45332</v>
      </c>
      <c r="C669" s="28" t="s">
        <v>35</v>
      </c>
      <c r="D669" s="28">
        <v>2024</v>
      </c>
      <c r="E669" s="28" t="s">
        <v>14</v>
      </c>
      <c r="F669" s="28">
        <v>28</v>
      </c>
      <c r="G669" s="28" t="s">
        <v>97</v>
      </c>
      <c r="H669" s="28" t="s">
        <v>16</v>
      </c>
      <c r="I669" s="28" t="s">
        <v>16</v>
      </c>
      <c r="J669" s="28" t="s">
        <v>16</v>
      </c>
      <c r="K669" s="28" t="s">
        <v>79</v>
      </c>
      <c r="L669" s="29">
        <f t="shared" si="11"/>
        <v>254.51999999999998</v>
      </c>
    </row>
    <row r="670" spans="2:12" x14ac:dyDescent="0.25">
      <c r="B670" s="27">
        <v>45337</v>
      </c>
      <c r="C670" s="28" t="s">
        <v>35</v>
      </c>
      <c r="D670" s="28">
        <v>2024</v>
      </c>
      <c r="E670" s="28" t="s">
        <v>14</v>
      </c>
      <c r="F670" s="28">
        <v>5</v>
      </c>
      <c r="G670" s="28" t="s">
        <v>108</v>
      </c>
      <c r="H670" s="28" t="s">
        <v>16</v>
      </c>
      <c r="I670" s="28" t="s">
        <v>16</v>
      </c>
      <c r="J670" s="28" t="s">
        <v>16</v>
      </c>
      <c r="K670" s="28" t="s">
        <v>75</v>
      </c>
      <c r="L670" s="29">
        <f t="shared" si="11"/>
        <v>45.45</v>
      </c>
    </row>
    <row r="671" spans="2:12" x14ac:dyDescent="0.25">
      <c r="B671" s="27">
        <v>45337</v>
      </c>
      <c r="C671" s="28" t="s">
        <v>35</v>
      </c>
      <c r="D671" s="28">
        <v>2024</v>
      </c>
      <c r="E671" s="28" t="s">
        <v>15</v>
      </c>
      <c r="F671" s="28">
        <v>1</v>
      </c>
      <c r="G671" s="28" t="s">
        <v>97</v>
      </c>
      <c r="H671" s="28" t="s">
        <v>16</v>
      </c>
      <c r="I671" s="28" t="s">
        <v>16</v>
      </c>
      <c r="J671" s="28" t="s">
        <v>16</v>
      </c>
      <c r="K671" s="28" t="s">
        <v>75</v>
      </c>
      <c r="L671" s="29">
        <f t="shared" si="11"/>
        <v>9.09</v>
      </c>
    </row>
    <row r="672" spans="2:12" x14ac:dyDescent="0.25">
      <c r="B672" s="27">
        <v>45340</v>
      </c>
      <c r="C672" s="28" t="s">
        <v>35</v>
      </c>
      <c r="D672" s="28">
        <v>2024</v>
      </c>
      <c r="E672" s="28" t="s">
        <v>14</v>
      </c>
      <c r="F672" s="28">
        <v>28</v>
      </c>
      <c r="G672" s="28" t="s">
        <v>111</v>
      </c>
      <c r="H672" s="28" t="s">
        <v>16</v>
      </c>
      <c r="I672" s="28" t="s">
        <v>16</v>
      </c>
      <c r="J672" s="28" t="s">
        <v>16</v>
      </c>
      <c r="K672" s="28" t="s">
        <v>78</v>
      </c>
      <c r="L672" s="29">
        <f t="shared" si="11"/>
        <v>254.51999999999998</v>
      </c>
    </row>
    <row r="673" spans="2:12" x14ac:dyDescent="0.25">
      <c r="B673" s="27">
        <v>45344</v>
      </c>
      <c r="C673" s="28" t="s">
        <v>35</v>
      </c>
      <c r="D673" s="28">
        <v>2024</v>
      </c>
      <c r="E673" s="28" t="s">
        <v>15</v>
      </c>
      <c r="F673" s="28">
        <v>4</v>
      </c>
      <c r="G673" s="28" t="s">
        <v>97</v>
      </c>
      <c r="H673" s="28" t="s">
        <v>16</v>
      </c>
      <c r="I673" s="28" t="s">
        <v>16</v>
      </c>
      <c r="J673" s="28" t="s">
        <v>16</v>
      </c>
      <c r="K673" s="28" t="s">
        <v>78</v>
      </c>
      <c r="L673" s="29">
        <f>F673*9.09</f>
        <v>36.36</v>
      </c>
    </row>
    <row r="674" spans="2:12" x14ac:dyDescent="0.25">
      <c r="B674" s="27">
        <v>45344</v>
      </c>
      <c r="C674" s="28" t="s">
        <v>35</v>
      </c>
      <c r="D674" s="28">
        <v>2024</v>
      </c>
      <c r="E674" s="28" t="s">
        <v>14</v>
      </c>
      <c r="F674" s="28">
        <v>26</v>
      </c>
      <c r="G674" s="28" t="s">
        <v>93</v>
      </c>
      <c r="H674" s="28" t="s">
        <v>16</v>
      </c>
      <c r="I674" s="28" t="s">
        <v>16</v>
      </c>
      <c r="J674" s="28" t="s">
        <v>16</v>
      </c>
      <c r="K674" s="28" t="s">
        <v>81</v>
      </c>
      <c r="L674" s="29">
        <f t="shared" si="11"/>
        <v>236.34</v>
      </c>
    </row>
    <row r="675" spans="2:12" x14ac:dyDescent="0.25">
      <c r="B675" s="27">
        <v>45347</v>
      </c>
      <c r="C675" s="28" t="s">
        <v>35</v>
      </c>
      <c r="D675" s="28">
        <v>2024</v>
      </c>
      <c r="E675" s="28" t="s">
        <v>15</v>
      </c>
      <c r="F675" s="28">
        <v>7</v>
      </c>
      <c r="G675" s="28" t="s">
        <v>111</v>
      </c>
      <c r="H675" s="28" t="s">
        <v>16</v>
      </c>
      <c r="I675" s="28" t="s">
        <v>16</v>
      </c>
      <c r="J675" s="28" t="s">
        <v>16</v>
      </c>
      <c r="K675" s="28" t="s">
        <v>78</v>
      </c>
      <c r="L675" s="29">
        <f t="shared" si="11"/>
        <v>63.629999999999995</v>
      </c>
    </row>
    <row r="676" spans="2:12" x14ac:dyDescent="0.25">
      <c r="B676" s="27">
        <v>45348</v>
      </c>
      <c r="C676" s="28" t="s">
        <v>35</v>
      </c>
      <c r="D676" s="28">
        <v>2024</v>
      </c>
      <c r="E676" s="28" t="s">
        <v>15</v>
      </c>
      <c r="F676" s="28">
        <v>4</v>
      </c>
      <c r="G676" s="28" t="s">
        <v>108</v>
      </c>
      <c r="H676" s="28" t="s">
        <v>16</v>
      </c>
      <c r="I676" s="28" t="s">
        <v>16</v>
      </c>
      <c r="J676" s="28" t="s">
        <v>16</v>
      </c>
      <c r="K676" s="28" t="s">
        <v>78</v>
      </c>
      <c r="L676" s="29">
        <f t="shared" si="11"/>
        <v>36.36</v>
      </c>
    </row>
    <row r="677" spans="2:12" x14ac:dyDescent="0.25">
      <c r="B677" s="27">
        <v>45352</v>
      </c>
      <c r="C677" s="28" t="s">
        <v>36</v>
      </c>
      <c r="D677" s="28">
        <v>2024</v>
      </c>
      <c r="E677" s="28" t="s">
        <v>14</v>
      </c>
      <c r="F677" s="28">
        <v>10</v>
      </c>
      <c r="G677" s="28" t="s">
        <v>111</v>
      </c>
      <c r="H677" s="28" t="s">
        <v>16</v>
      </c>
      <c r="I677" s="28" t="s">
        <v>16</v>
      </c>
      <c r="J677" s="28" t="s">
        <v>16</v>
      </c>
      <c r="K677" s="28" t="s">
        <v>78</v>
      </c>
      <c r="L677" s="29">
        <f t="shared" ref="L677:L694" si="13">F677*13.86</f>
        <v>138.6</v>
      </c>
    </row>
    <row r="678" spans="2:12" x14ac:dyDescent="0.25">
      <c r="B678" s="27">
        <v>45357</v>
      </c>
      <c r="C678" s="28" t="s">
        <v>36</v>
      </c>
      <c r="D678" s="28">
        <v>2024</v>
      </c>
      <c r="E678" s="28" t="s">
        <v>14</v>
      </c>
      <c r="F678" s="28">
        <v>26</v>
      </c>
      <c r="G678" s="28" t="s">
        <v>111</v>
      </c>
      <c r="H678" s="28" t="s">
        <v>16</v>
      </c>
      <c r="I678" s="28" t="s">
        <v>16</v>
      </c>
      <c r="J678" s="28" t="s">
        <v>16</v>
      </c>
      <c r="K678" s="28" t="s">
        <v>79</v>
      </c>
      <c r="L678" s="29">
        <f t="shared" si="13"/>
        <v>360.36</v>
      </c>
    </row>
    <row r="679" spans="2:12" x14ac:dyDescent="0.25">
      <c r="B679" s="27">
        <v>45357</v>
      </c>
      <c r="C679" s="28" t="s">
        <v>36</v>
      </c>
      <c r="D679" s="28">
        <v>2024</v>
      </c>
      <c r="E679" s="28" t="s">
        <v>15</v>
      </c>
      <c r="F679" s="28">
        <v>8</v>
      </c>
      <c r="G679" s="28" t="s">
        <v>94</v>
      </c>
      <c r="H679" s="28" t="s">
        <v>16</v>
      </c>
      <c r="I679" s="28" t="s">
        <v>16</v>
      </c>
      <c r="J679" s="28" t="s">
        <v>16</v>
      </c>
      <c r="K679" s="28" t="s">
        <v>79</v>
      </c>
      <c r="L679" s="29">
        <f t="shared" si="13"/>
        <v>110.88</v>
      </c>
    </row>
    <row r="680" spans="2:12" x14ac:dyDescent="0.25">
      <c r="B680" s="27">
        <v>45359</v>
      </c>
      <c r="C680" s="28" t="s">
        <v>36</v>
      </c>
      <c r="D680" s="28">
        <v>2024</v>
      </c>
      <c r="E680" s="28" t="s">
        <v>14</v>
      </c>
      <c r="F680" s="28">
        <v>20</v>
      </c>
      <c r="G680" s="28" t="s">
        <v>93</v>
      </c>
      <c r="H680" s="28" t="s">
        <v>16</v>
      </c>
      <c r="I680" s="28" t="s">
        <v>16</v>
      </c>
      <c r="J680" s="28" t="s">
        <v>16</v>
      </c>
      <c r="K680" s="28" t="s">
        <v>75</v>
      </c>
      <c r="L680" s="29">
        <f t="shared" si="13"/>
        <v>277.2</v>
      </c>
    </row>
    <row r="681" spans="2:12" x14ac:dyDescent="0.25">
      <c r="B681" s="27">
        <v>45361</v>
      </c>
      <c r="C681" s="28" t="s">
        <v>36</v>
      </c>
      <c r="D681" s="28">
        <v>2024</v>
      </c>
      <c r="E681" s="28" t="s">
        <v>15</v>
      </c>
      <c r="F681" s="28">
        <v>11</v>
      </c>
      <c r="G681" s="28" t="s">
        <v>111</v>
      </c>
      <c r="H681" s="28" t="s">
        <v>16</v>
      </c>
      <c r="I681" s="28" t="s">
        <v>16</v>
      </c>
      <c r="J681" s="28" t="s">
        <v>16</v>
      </c>
      <c r="K681" s="28" t="s">
        <v>73</v>
      </c>
      <c r="L681" s="29">
        <f t="shared" si="13"/>
        <v>152.45999999999998</v>
      </c>
    </row>
    <row r="682" spans="2:12" x14ac:dyDescent="0.25">
      <c r="B682" s="27">
        <v>45361</v>
      </c>
      <c r="C682" s="28" t="s">
        <v>36</v>
      </c>
      <c r="D682" s="28">
        <v>2024</v>
      </c>
      <c r="E682" s="28" t="s">
        <v>14</v>
      </c>
      <c r="F682" s="28">
        <v>26</v>
      </c>
      <c r="G682" s="28" t="s">
        <v>93</v>
      </c>
      <c r="H682" s="28" t="s">
        <v>16</v>
      </c>
      <c r="I682" s="28" t="s">
        <v>16</v>
      </c>
      <c r="J682" s="28" t="s">
        <v>16</v>
      </c>
      <c r="K682" s="28" t="s">
        <v>75</v>
      </c>
      <c r="L682" s="29">
        <f t="shared" si="13"/>
        <v>360.36</v>
      </c>
    </row>
    <row r="683" spans="2:12" x14ac:dyDescent="0.25">
      <c r="B683" s="27">
        <v>45364</v>
      </c>
      <c r="C683" s="28" t="s">
        <v>36</v>
      </c>
      <c r="D683" s="28">
        <v>2024</v>
      </c>
      <c r="E683" s="28" t="s">
        <v>14</v>
      </c>
      <c r="F683" s="28">
        <v>26</v>
      </c>
      <c r="G683" s="28" t="s">
        <v>93</v>
      </c>
      <c r="H683" s="28" t="s">
        <v>16</v>
      </c>
      <c r="I683" s="28" t="s">
        <v>16</v>
      </c>
      <c r="J683" s="28" t="s">
        <v>16</v>
      </c>
      <c r="K683" s="28" t="s">
        <v>76</v>
      </c>
      <c r="L683" s="29">
        <f t="shared" si="13"/>
        <v>360.36</v>
      </c>
    </row>
    <row r="684" spans="2:12" x14ac:dyDescent="0.25">
      <c r="B684" s="27">
        <v>45366</v>
      </c>
      <c r="C684" s="28" t="s">
        <v>36</v>
      </c>
      <c r="D684" s="28">
        <v>2024</v>
      </c>
      <c r="E684" s="28" t="s">
        <v>15</v>
      </c>
      <c r="F684" s="28">
        <v>2</v>
      </c>
      <c r="G684" s="28" t="s">
        <v>93</v>
      </c>
      <c r="H684" s="28" t="s">
        <v>16</v>
      </c>
      <c r="I684" s="28" t="s">
        <v>16</v>
      </c>
      <c r="J684" s="28" t="s">
        <v>16</v>
      </c>
      <c r="K684" s="28" t="s">
        <v>73</v>
      </c>
      <c r="L684" s="29">
        <f t="shared" si="13"/>
        <v>27.72</v>
      </c>
    </row>
    <row r="685" spans="2:12" x14ac:dyDescent="0.25">
      <c r="B685" s="27">
        <v>45373</v>
      </c>
      <c r="C685" s="28" t="s">
        <v>36</v>
      </c>
      <c r="D685" s="28">
        <v>2024</v>
      </c>
      <c r="E685" s="28" t="s">
        <v>14</v>
      </c>
      <c r="F685" s="28">
        <v>4</v>
      </c>
      <c r="G685" s="28" t="s">
        <v>108</v>
      </c>
      <c r="H685" s="28" t="s">
        <v>16</v>
      </c>
      <c r="I685" s="28" t="s">
        <v>16</v>
      </c>
      <c r="J685" s="28" t="s">
        <v>16</v>
      </c>
      <c r="K685" s="28" t="s">
        <v>73</v>
      </c>
      <c r="L685" s="29">
        <f t="shared" si="13"/>
        <v>55.44</v>
      </c>
    </row>
    <row r="686" spans="2:12" x14ac:dyDescent="0.25">
      <c r="B686" s="27">
        <v>45378</v>
      </c>
      <c r="C686" s="28" t="s">
        <v>36</v>
      </c>
      <c r="D686" s="28">
        <v>2024</v>
      </c>
      <c r="E686" s="28" t="s">
        <v>15</v>
      </c>
      <c r="F686" s="28">
        <v>10</v>
      </c>
      <c r="G686" s="28" t="s">
        <v>98</v>
      </c>
      <c r="H686" s="28" t="s">
        <v>16</v>
      </c>
      <c r="I686" s="28" t="s">
        <v>16</v>
      </c>
      <c r="J686" s="28" t="s">
        <v>16</v>
      </c>
      <c r="K686" s="28" t="s">
        <v>81</v>
      </c>
      <c r="L686" s="29">
        <f t="shared" si="13"/>
        <v>138.6</v>
      </c>
    </row>
    <row r="687" spans="2:12" x14ac:dyDescent="0.25">
      <c r="B687" s="27">
        <v>45378</v>
      </c>
      <c r="C687" s="28" t="s">
        <v>36</v>
      </c>
      <c r="D687" s="28">
        <v>2024</v>
      </c>
      <c r="E687" s="28" t="s">
        <v>14</v>
      </c>
      <c r="F687" s="28">
        <v>26</v>
      </c>
      <c r="G687" s="28" t="s">
        <v>93</v>
      </c>
      <c r="H687" s="28" t="s">
        <v>16</v>
      </c>
      <c r="I687" s="28" t="s">
        <v>16</v>
      </c>
      <c r="J687" s="28" t="s">
        <v>16</v>
      </c>
      <c r="K687" s="28" t="s">
        <v>83</v>
      </c>
      <c r="L687" s="29">
        <f t="shared" si="13"/>
        <v>360.36</v>
      </c>
    </row>
    <row r="688" spans="2:12" x14ac:dyDescent="0.25">
      <c r="B688" s="27">
        <v>45380</v>
      </c>
      <c r="C688" s="28" t="s">
        <v>36</v>
      </c>
      <c r="D688" s="28">
        <v>2024</v>
      </c>
      <c r="E688" s="28" t="s">
        <v>15</v>
      </c>
      <c r="F688" s="28">
        <v>5</v>
      </c>
      <c r="G688" s="28" t="s">
        <v>94</v>
      </c>
      <c r="H688" s="28" t="s">
        <v>16</v>
      </c>
      <c r="I688" s="28" t="s">
        <v>16</v>
      </c>
      <c r="J688" s="28" t="s">
        <v>16</v>
      </c>
      <c r="K688" s="28" t="s">
        <v>74</v>
      </c>
      <c r="L688" s="29">
        <f t="shared" si="13"/>
        <v>69.3</v>
      </c>
    </row>
    <row r="689" spans="2:12" x14ac:dyDescent="0.25">
      <c r="B689" s="27">
        <v>45380</v>
      </c>
      <c r="C689" s="28" t="s">
        <v>36</v>
      </c>
      <c r="D689" s="28">
        <v>2024</v>
      </c>
      <c r="E689" s="28" t="s">
        <v>14</v>
      </c>
      <c r="F689" s="28">
        <v>26</v>
      </c>
      <c r="G689" s="28" t="s">
        <v>93</v>
      </c>
      <c r="H689" s="28" t="s">
        <v>16</v>
      </c>
      <c r="I689" s="28" t="s">
        <v>16</v>
      </c>
      <c r="J689" s="28" t="s">
        <v>16</v>
      </c>
      <c r="K689" s="28" t="s">
        <v>75</v>
      </c>
      <c r="L689" s="29">
        <f t="shared" si="13"/>
        <v>360.36</v>
      </c>
    </row>
    <row r="690" spans="2:12" x14ac:dyDescent="0.25">
      <c r="B690" s="27">
        <v>45380</v>
      </c>
      <c r="C690" s="28" t="s">
        <v>36</v>
      </c>
      <c r="D690" s="28">
        <v>2024</v>
      </c>
      <c r="E690" s="28" t="s">
        <v>14</v>
      </c>
      <c r="F690" s="28">
        <v>26</v>
      </c>
      <c r="G690" s="28" t="s">
        <v>94</v>
      </c>
      <c r="H690" s="28" t="s">
        <v>16</v>
      </c>
      <c r="I690" s="28" t="s">
        <v>16</v>
      </c>
      <c r="J690" s="28" t="s">
        <v>16</v>
      </c>
      <c r="K690" s="28" t="s">
        <v>76</v>
      </c>
      <c r="L690" s="29">
        <f>F690*13.86</f>
        <v>360.36</v>
      </c>
    </row>
    <row r="691" spans="2:12" x14ac:dyDescent="0.25">
      <c r="B691" s="27">
        <v>45381</v>
      </c>
      <c r="C691" s="28" t="s">
        <v>36</v>
      </c>
      <c r="D691" s="28">
        <v>2024</v>
      </c>
      <c r="E691" s="28" t="s">
        <v>15</v>
      </c>
      <c r="F691" s="28">
        <v>2</v>
      </c>
      <c r="G691" s="28" t="s">
        <v>111</v>
      </c>
      <c r="H691" s="28" t="s">
        <v>16</v>
      </c>
      <c r="I691" s="28" t="s">
        <v>16</v>
      </c>
      <c r="J691" s="28" t="s">
        <v>16</v>
      </c>
      <c r="K691" s="28" t="s">
        <v>73</v>
      </c>
      <c r="L691" s="29">
        <f t="shared" si="13"/>
        <v>27.72</v>
      </c>
    </row>
    <row r="692" spans="2:12" x14ac:dyDescent="0.25">
      <c r="B692" s="27">
        <v>45381</v>
      </c>
      <c r="C692" s="28" t="s">
        <v>36</v>
      </c>
      <c r="D692" s="28">
        <v>2024</v>
      </c>
      <c r="E692" s="28" t="s">
        <v>14</v>
      </c>
      <c r="F692" s="28">
        <v>8</v>
      </c>
      <c r="G692" s="28" t="s">
        <v>108</v>
      </c>
      <c r="H692" s="28" t="s">
        <v>16</v>
      </c>
      <c r="I692" s="28" t="s">
        <v>16</v>
      </c>
      <c r="J692" s="28" t="s">
        <v>16</v>
      </c>
      <c r="K692" s="28" t="s">
        <v>73</v>
      </c>
      <c r="L692" s="29">
        <f t="shared" si="13"/>
        <v>110.88</v>
      </c>
    </row>
    <row r="693" spans="2:12" x14ac:dyDescent="0.25">
      <c r="B693" s="27">
        <v>45381</v>
      </c>
      <c r="C693" s="28" t="s">
        <v>36</v>
      </c>
      <c r="D693" s="28">
        <v>2024</v>
      </c>
      <c r="E693" s="28" t="s">
        <v>14</v>
      </c>
      <c r="F693" s="28">
        <v>3</v>
      </c>
      <c r="G693" s="28" t="s">
        <v>111</v>
      </c>
      <c r="H693" s="28" t="s">
        <v>16</v>
      </c>
      <c r="I693" s="28" t="s">
        <v>16</v>
      </c>
      <c r="J693" s="28" t="s">
        <v>16</v>
      </c>
      <c r="K693" s="28" t="s">
        <v>73</v>
      </c>
      <c r="L693" s="29">
        <f t="shared" si="13"/>
        <v>41.58</v>
      </c>
    </row>
    <row r="694" spans="2:12" x14ac:dyDescent="0.25">
      <c r="B694" s="27">
        <v>45382</v>
      </c>
      <c r="C694" s="28" t="s">
        <v>36</v>
      </c>
      <c r="D694" s="28">
        <v>2024</v>
      </c>
      <c r="E694" s="28" t="s">
        <v>14</v>
      </c>
      <c r="F694" s="28">
        <v>26</v>
      </c>
      <c r="G694" s="28" t="s">
        <v>93</v>
      </c>
      <c r="H694" s="28" t="s">
        <v>16</v>
      </c>
      <c r="I694" s="28" t="s">
        <v>16</v>
      </c>
      <c r="J694" s="28" t="s">
        <v>16</v>
      </c>
      <c r="K694" s="28" t="s">
        <v>75</v>
      </c>
      <c r="L694" s="29">
        <f t="shared" si="13"/>
        <v>360.36</v>
      </c>
    </row>
    <row r="695" spans="2:12" x14ac:dyDescent="0.25">
      <c r="B695" s="27">
        <v>45382</v>
      </c>
      <c r="C695" s="28" t="s">
        <v>36</v>
      </c>
      <c r="D695" s="28">
        <v>2024</v>
      </c>
      <c r="E695" s="28" t="s">
        <v>15</v>
      </c>
      <c r="F695" s="28">
        <v>5</v>
      </c>
      <c r="G695" s="28" t="s">
        <v>93</v>
      </c>
      <c r="H695" s="28" t="s">
        <v>16</v>
      </c>
      <c r="I695" s="28" t="s">
        <v>16</v>
      </c>
      <c r="J695" s="28" t="s">
        <v>16</v>
      </c>
      <c r="K695" s="28" t="s">
        <v>75</v>
      </c>
      <c r="L695" s="29">
        <f>F695*13.86</f>
        <v>69.3</v>
      </c>
    </row>
    <row r="696" spans="2:12" x14ac:dyDescent="0.25">
      <c r="B696" s="27">
        <v>45382</v>
      </c>
      <c r="C696" s="28" t="s">
        <v>36</v>
      </c>
      <c r="D696" s="28">
        <v>2024</v>
      </c>
      <c r="E696" s="28" t="s">
        <v>15</v>
      </c>
      <c r="F696" s="28">
        <v>16</v>
      </c>
      <c r="G696" s="28" t="s">
        <v>108</v>
      </c>
      <c r="H696" s="28" t="s">
        <v>16</v>
      </c>
      <c r="I696" s="28" t="s">
        <v>16</v>
      </c>
      <c r="J696" s="28" t="s">
        <v>16</v>
      </c>
      <c r="K696" s="28" t="s">
        <v>75</v>
      </c>
      <c r="L696" s="29">
        <f>F696*13.86</f>
        <v>221.76</v>
      </c>
    </row>
    <row r="697" spans="2:12" x14ac:dyDescent="0.25">
      <c r="B697" s="27">
        <v>45387</v>
      </c>
      <c r="C697" s="28" t="s">
        <v>37</v>
      </c>
      <c r="D697" s="28">
        <v>2024</v>
      </c>
      <c r="E697" s="28" t="s">
        <v>15</v>
      </c>
      <c r="F697" s="28">
        <v>5</v>
      </c>
      <c r="G697" s="28" t="s">
        <v>111</v>
      </c>
      <c r="H697" s="28" t="s">
        <v>16</v>
      </c>
      <c r="I697" s="28" t="s">
        <v>16</v>
      </c>
      <c r="J697" s="28" t="s">
        <v>16</v>
      </c>
      <c r="K697" s="28" t="s">
        <v>76</v>
      </c>
      <c r="L697" s="29">
        <f t="shared" ref="L697:L698" si="14">F697*13.86</f>
        <v>69.3</v>
      </c>
    </row>
    <row r="698" spans="2:12" x14ac:dyDescent="0.25">
      <c r="B698" s="27">
        <v>45387</v>
      </c>
      <c r="C698" s="28" t="s">
        <v>37</v>
      </c>
      <c r="D698" s="28">
        <v>2024</v>
      </c>
      <c r="E698" s="28" t="s">
        <v>14</v>
      </c>
      <c r="F698" s="28">
        <v>8</v>
      </c>
      <c r="G698" s="28" t="s">
        <v>108</v>
      </c>
      <c r="H698" s="28" t="s">
        <v>16</v>
      </c>
      <c r="I698" s="28" t="s">
        <v>16</v>
      </c>
      <c r="J698" s="28" t="s">
        <v>16</v>
      </c>
      <c r="K698" s="28" t="s">
        <v>76</v>
      </c>
      <c r="L698" s="29">
        <f t="shared" si="14"/>
        <v>110.88</v>
      </c>
    </row>
    <row r="699" spans="2:12" x14ac:dyDescent="0.25">
      <c r="B699" s="27">
        <v>45389</v>
      </c>
      <c r="C699" s="28" t="s">
        <v>37</v>
      </c>
      <c r="D699" s="28">
        <v>2024</v>
      </c>
      <c r="E699" s="28" t="s">
        <v>14</v>
      </c>
      <c r="F699" s="28">
        <v>26</v>
      </c>
      <c r="G699" s="28" t="s">
        <v>93</v>
      </c>
      <c r="H699" s="28" t="s">
        <v>16</v>
      </c>
      <c r="I699" s="28" t="s">
        <v>16</v>
      </c>
      <c r="J699" s="28" t="s">
        <v>16</v>
      </c>
      <c r="K699" s="28" t="s">
        <v>78</v>
      </c>
      <c r="L699" s="29">
        <f>F699*13.86</f>
        <v>360.36</v>
      </c>
    </row>
    <row r="700" spans="2:12" x14ac:dyDescent="0.25">
      <c r="B700" s="27">
        <v>45394</v>
      </c>
      <c r="C700" s="28" t="s">
        <v>37</v>
      </c>
      <c r="D700" s="28">
        <v>2024</v>
      </c>
      <c r="E700" s="28" t="s">
        <v>14</v>
      </c>
      <c r="F700" s="28">
        <v>2</v>
      </c>
      <c r="G700" s="28" t="s">
        <v>111</v>
      </c>
      <c r="H700" s="28" t="s">
        <v>16</v>
      </c>
      <c r="I700" s="28" t="s">
        <v>16</v>
      </c>
      <c r="J700" s="28" t="s">
        <v>16</v>
      </c>
      <c r="K700" s="28" t="s">
        <v>76</v>
      </c>
      <c r="L700" s="29">
        <f t="shared" ref="L700:L708" si="15">F700*13.86</f>
        <v>27.72</v>
      </c>
    </row>
    <row r="701" spans="2:12" x14ac:dyDescent="0.25">
      <c r="B701" s="27">
        <v>45398</v>
      </c>
      <c r="C701" s="28" t="s">
        <v>37</v>
      </c>
      <c r="D701" s="28">
        <v>2024</v>
      </c>
      <c r="E701" s="28" t="s">
        <v>15</v>
      </c>
      <c r="F701" s="28">
        <v>4</v>
      </c>
      <c r="G701" s="28" t="s">
        <v>99</v>
      </c>
      <c r="H701" s="28" t="s">
        <v>16</v>
      </c>
      <c r="I701" s="28" t="s">
        <v>16</v>
      </c>
      <c r="J701" s="28" t="s">
        <v>16</v>
      </c>
      <c r="K701" s="28" t="s">
        <v>81</v>
      </c>
      <c r="L701" s="29">
        <f t="shared" si="15"/>
        <v>55.44</v>
      </c>
    </row>
    <row r="702" spans="2:12" x14ac:dyDescent="0.25">
      <c r="B702" s="27">
        <v>45408</v>
      </c>
      <c r="C702" s="28" t="s">
        <v>37</v>
      </c>
      <c r="D702" s="28">
        <v>2024</v>
      </c>
      <c r="E702" s="28" t="s">
        <v>14</v>
      </c>
      <c r="F702" s="28">
        <v>13</v>
      </c>
      <c r="G702" s="28" t="s">
        <v>93</v>
      </c>
      <c r="H702" s="28" t="s">
        <v>16</v>
      </c>
      <c r="I702" s="28" t="s">
        <v>16</v>
      </c>
      <c r="J702" s="28" t="s">
        <v>16</v>
      </c>
      <c r="K702" s="28" t="s">
        <v>78</v>
      </c>
      <c r="L702" s="29">
        <f>F702*13.86</f>
        <v>180.18</v>
      </c>
    </row>
    <row r="703" spans="2:12" x14ac:dyDescent="0.25">
      <c r="B703" s="27">
        <v>45408</v>
      </c>
      <c r="C703" s="28" t="s">
        <v>37</v>
      </c>
      <c r="D703" s="28">
        <v>2024</v>
      </c>
      <c r="E703" s="28" t="s">
        <v>14</v>
      </c>
      <c r="F703" s="28">
        <v>5</v>
      </c>
      <c r="G703" s="28" t="s">
        <v>111</v>
      </c>
      <c r="H703" s="28" t="s">
        <v>16</v>
      </c>
      <c r="I703" s="28" t="s">
        <v>16</v>
      </c>
      <c r="J703" s="28" t="s">
        <v>16</v>
      </c>
      <c r="K703" s="28" t="s">
        <v>73</v>
      </c>
      <c r="L703" s="29">
        <f t="shared" si="15"/>
        <v>69.3</v>
      </c>
    </row>
    <row r="704" spans="2:12" x14ac:dyDescent="0.25">
      <c r="B704" s="27">
        <v>45408</v>
      </c>
      <c r="C704" s="28" t="s">
        <v>37</v>
      </c>
      <c r="D704" s="28">
        <v>2024</v>
      </c>
      <c r="E704" s="28" t="s">
        <v>14</v>
      </c>
      <c r="F704" s="28">
        <v>4</v>
      </c>
      <c r="G704" s="28" t="s">
        <v>93</v>
      </c>
      <c r="H704" s="28" t="s">
        <v>16</v>
      </c>
      <c r="I704" s="28" t="s">
        <v>16</v>
      </c>
      <c r="J704" s="28" t="s">
        <v>16</v>
      </c>
      <c r="K704" s="28" t="s">
        <v>78</v>
      </c>
      <c r="L704" s="29">
        <f t="shared" si="15"/>
        <v>55.44</v>
      </c>
    </row>
    <row r="705" spans="2:12" x14ac:dyDescent="0.25">
      <c r="B705" s="27">
        <v>45410</v>
      </c>
      <c r="C705" s="28" t="s">
        <v>37</v>
      </c>
      <c r="D705" s="28">
        <v>2024</v>
      </c>
      <c r="E705" s="28" t="s">
        <v>15</v>
      </c>
      <c r="F705" s="28">
        <v>26</v>
      </c>
      <c r="G705" s="28" t="s">
        <v>92</v>
      </c>
      <c r="H705" s="28" t="s">
        <v>16</v>
      </c>
      <c r="I705" s="28" t="s">
        <v>16</v>
      </c>
      <c r="J705" s="28" t="s">
        <v>16</v>
      </c>
      <c r="K705" s="28" t="s">
        <v>76</v>
      </c>
      <c r="L705" s="29">
        <f t="shared" si="15"/>
        <v>360.36</v>
      </c>
    </row>
    <row r="706" spans="2:12" x14ac:dyDescent="0.25">
      <c r="B706" s="27">
        <v>45410</v>
      </c>
      <c r="C706" s="28" t="s">
        <v>37</v>
      </c>
      <c r="D706" s="28">
        <v>2024</v>
      </c>
      <c r="E706" s="28" t="s">
        <v>15</v>
      </c>
      <c r="F706" s="28">
        <v>3</v>
      </c>
      <c r="G706" s="28" t="s">
        <v>85</v>
      </c>
      <c r="H706" s="28" t="s">
        <v>16</v>
      </c>
      <c r="I706" s="28" t="s">
        <v>16</v>
      </c>
      <c r="J706" s="28" t="s">
        <v>16</v>
      </c>
      <c r="K706" s="28" t="s">
        <v>76</v>
      </c>
      <c r="L706" s="29">
        <f t="shared" si="15"/>
        <v>41.58</v>
      </c>
    </row>
    <row r="707" spans="2:12" x14ac:dyDescent="0.25">
      <c r="B707" s="27">
        <v>45410</v>
      </c>
      <c r="C707" s="28" t="s">
        <v>37</v>
      </c>
      <c r="D707" s="28">
        <v>2024</v>
      </c>
      <c r="E707" s="28" t="s">
        <v>15</v>
      </c>
      <c r="F707" s="28">
        <v>26</v>
      </c>
      <c r="G707" s="28" t="s">
        <v>102</v>
      </c>
      <c r="H707" s="28" t="s">
        <v>16</v>
      </c>
      <c r="I707" s="28" t="s">
        <v>16</v>
      </c>
      <c r="J707" s="28" t="s">
        <v>16</v>
      </c>
      <c r="K707" s="28" t="s">
        <v>75</v>
      </c>
      <c r="L707" s="29">
        <f t="shared" si="15"/>
        <v>360.36</v>
      </c>
    </row>
    <row r="708" spans="2:12" x14ac:dyDescent="0.25">
      <c r="B708" s="27">
        <v>45411</v>
      </c>
      <c r="C708" s="28" t="s">
        <v>37</v>
      </c>
      <c r="D708" s="28">
        <v>2024</v>
      </c>
      <c r="E708" s="28" t="s">
        <v>15</v>
      </c>
      <c r="F708" s="28">
        <v>26</v>
      </c>
      <c r="G708" s="28" t="s">
        <v>92</v>
      </c>
      <c r="H708" s="28" t="s">
        <v>16</v>
      </c>
      <c r="I708" s="28" t="s">
        <v>16</v>
      </c>
      <c r="J708" s="28" t="s">
        <v>16</v>
      </c>
      <c r="K708" s="28" t="s">
        <v>73</v>
      </c>
      <c r="L708" s="29">
        <f t="shared" si="15"/>
        <v>360.36</v>
      </c>
    </row>
    <row r="709" spans="2:12" x14ac:dyDescent="0.25">
      <c r="B709" s="27">
        <v>45412</v>
      </c>
      <c r="C709" s="28" t="s">
        <v>37</v>
      </c>
      <c r="D709" s="28">
        <v>2024</v>
      </c>
      <c r="E709" s="28" t="s">
        <v>15</v>
      </c>
      <c r="F709" s="28">
        <v>26</v>
      </c>
      <c r="G709" s="28" t="s">
        <v>108</v>
      </c>
      <c r="H709" s="28" t="s">
        <v>16</v>
      </c>
      <c r="I709" s="28" t="s">
        <v>16</v>
      </c>
      <c r="J709" s="28" t="s">
        <v>16</v>
      </c>
      <c r="K709" s="28" t="s">
        <v>81</v>
      </c>
      <c r="L709" s="29">
        <f t="shared" ref="L709:L751" si="16">F709*13.86</f>
        <v>360.36</v>
      </c>
    </row>
    <row r="710" spans="2:12" x14ac:dyDescent="0.25">
      <c r="B710" s="27">
        <v>45356</v>
      </c>
      <c r="C710" s="28" t="s">
        <v>38</v>
      </c>
      <c r="D710" s="28">
        <v>2024</v>
      </c>
      <c r="E710" s="28" t="s">
        <v>15</v>
      </c>
      <c r="F710" s="38">
        <v>26</v>
      </c>
      <c r="G710" s="28" t="s">
        <v>108</v>
      </c>
      <c r="H710" s="28" t="s">
        <v>16</v>
      </c>
      <c r="I710" s="28" t="s">
        <v>16</v>
      </c>
      <c r="J710" s="28" t="s">
        <v>16</v>
      </c>
      <c r="K710" s="28" t="s">
        <v>79</v>
      </c>
      <c r="L710" s="29">
        <f t="shared" si="16"/>
        <v>360.36</v>
      </c>
    </row>
    <row r="711" spans="2:12" x14ac:dyDescent="0.25">
      <c r="B711" s="27">
        <v>45387</v>
      </c>
      <c r="C711" s="28" t="s">
        <v>38</v>
      </c>
      <c r="D711" s="28">
        <v>2024</v>
      </c>
      <c r="E711" s="28" t="s">
        <v>15</v>
      </c>
      <c r="F711" s="38">
        <v>26</v>
      </c>
      <c r="G711" s="28" t="s">
        <v>102</v>
      </c>
      <c r="H711" s="28" t="s">
        <v>16</v>
      </c>
      <c r="I711" s="28" t="s">
        <v>16</v>
      </c>
      <c r="J711" s="28" t="s">
        <v>16</v>
      </c>
      <c r="K711" s="28" t="s">
        <v>78</v>
      </c>
      <c r="L711" s="29">
        <f t="shared" si="16"/>
        <v>360.36</v>
      </c>
    </row>
    <row r="712" spans="2:12" x14ac:dyDescent="0.25">
      <c r="B712" s="27">
        <v>45417</v>
      </c>
      <c r="C712" s="28" t="s">
        <v>38</v>
      </c>
      <c r="D712" s="28">
        <v>2024</v>
      </c>
      <c r="E712" s="28" t="s">
        <v>15</v>
      </c>
      <c r="F712" s="38">
        <v>26</v>
      </c>
      <c r="G712" s="28" t="s">
        <v>100</v>
      </c>
      <c r="H712" s="28" t="s">
        <v>16</v>
      </c>
      <c r="I712" s="28" t="s">
        <v>16</v>
      </c>
      <c r="J712" s="28" t="s">
        <v>16</v>
      </c>
      <c r="K712" s="28" t="s">
        <v>76</v>
      </c>
      <c r="L712" s="29">
        <f t="shared" si="16"/>
        <v>360.36</v>
      </c>
    </row>
    <row r="713" spans="2:12" x14ac:dyDescent="0.25">
      <c r="B713" s="27">
        <v>45417</v>
      </c>
      <c r="C713" s="28" t="s">
        <v>38</v>
      </c>
      <c r="D713" s="28">
        <v>2024</v>
      </c>
      <c r="E713" s="28" t="s">
        <v>15</v>
      </c>
      <c r="F713" s="38">
        <v>26</v>
      </c>
      <c r="G713" s="28" t="s">
        <v>96</v>
      </c>
      <c r="H713" s="28" t="s">
        <v>16</v>
      </c>
      <c r="I713" s="28" t="s">
        <v>16</v>
      </c>
      <c r="J713" s="28" t="s">
        <v>16</v>
      </c>
      <c r="K713" s="28" t="s">
        <v>79</v>
      </c>
      <c r="L713" s="29">
        <f t="shared" si="16"/>
        <v>360.36</v>
      </c>
    </row>
    <row r="714" spans="2:12" x14ac:dyDescent="0.25">
      <c r="B714" s="27">
        <v>45417</v>
      </c>
      <c r="C714" s="28" t="s">
        <v>38</v>
      </c>
      <c r="D714" s="28">
        <v>2024</v>
      </c>
      <c r="E714" s="28" t="s">
        <v>15</v>
      </c>
      <c r="F714" s="38">
        <v>26</v>
      </c>
      <c r="G714" s="28" t="s">
        <v>101</v>
      </c>
      <c r="H714" s="28" t="s">
        <v>16</v>
      </c>
      <c r="I714" s="28" t="s">
        <v>16</v>
      </c>
      <c r="J714" s="28" t="s">
        <v>16</v>
      </c>
      <c r="K714" s="28" t="s">
        <v>79</v>
      </c>
      <c r="L714" s="29">
        <f t="shared" si="16"/>
        <v>360.36</v>
      </c>
    </row>
    <row r="715" spans="2:12" x14ac:dyDescent="0.25">
      <c r="B715" s="27">
        <v>45478</v>
      </c>
      <c r="C715" s="28" t="s">
        <v>38</v>
      </c>
      <c r="D715" s="28">
        <v>2024</v>
      </c>
      <c r="E715" s="28" t="s">
        <v>15</v>
      </c>
      <c r="F715" s="38">
        <v>6</v>
      </c>
      <c r="G715" s="28" t="s">
        <v>111</v>
      </c>
      <c r="H715" s="28" t="s">
        <v>16</v>
      </c>
      <c r="I715" s="28" t="s">
        <v>16</v>
      </c>
      <c r="J715" s="28" t="s">
        <v>16</v>
      </c>
      <c r="K715" s="28" t="s">
        <v>81</v>
      </c>
      <c r="L715" s="29">
        <f t="shared" si="16"/>
        <v>83.16</v>
      </c>
    </row>
    <row r="716" spans="2:12" x14ac:dyDescent="0.25">
      <c r="B716" s="27">
        <v>45509</v>
      </c>
      <c r="C716" s="28" t="s">
        <v>38</v>
      </c>
      <c r="D716" s="28">
        <v>2024</v>
      </c>
      <c r="E716" s="28" t="s">
        <v>15</v>
      </c>
      <c r="F716" s="38">
        <v>24</v>
      </c>
      <c r="G716" s="28" t="s">
        <v>101</v>
      </c>
      <c r="H716" s="28" t="s">
        <v>16</v>
      </c>
      <c r="I716" s="28" t="s">
        <v>16</v>
      </c>
      <c r="J716" s="28" t="s">
        <v>16</v>
      </c>
      <c r="K716" s="28" t="s">
        <v>76</v>
      </c>
      <c r="L716" s="29">
        <f t="shared" si="16"/>
        <v>332.64</v>
      </c>
    </row>
    <row r="717" spans="2:12" x14ac:dyDescent="0.25">
      <c r="B717" s="27">
        <v>45509</v>
      </c>
      <c r="C717" s="28" t="s">
        <v>38</v>
      </c>
      <c r="D717" s="28">
        <v>2024</v>
      </c>
      <c r="E717" s="28" t="s">
        <v>15</v>
      </c>
      <c r="F717" s="38">
        <v>26</v>
      </c>
      <c r="G717" s="28" t="s">
        <v>108</v>
      </c>
      <c r="H717" s="28" t="s">
        <v>16</v>
      </c>
      <c r="I717" s="28" t="s">
        <v>16</v>
      </c>
      <c r="J717" s="28" t="s">
        <v>16</v>
      </c>
      <c r="K717" s="28" t="s">
        <v>79</v>
      </c>
      <c r="L717" s="29">
        <f t="shared" si="16"/>
        <v>360.36</v>
      </c>
    </row>
    <row r="718" spans="2:12" x14ac:dyDescent="0.25">
      <c r="B718" s="27">
        <v>45509</v>
      </c>
      <c r="C718" s="28" t="s">
        <v>38</v>
      </c>
      <c r="D718" s="28">
        <v>2024</v>
      </c>
      <c r="E718" s="28" t="s">
        <v>15</v>
      </c>
      <c r="F718" s="38">
        <v>26</v>
      </c>
      <c r="G718" s="28" t="s">
        <v>108</v>
      </c>
      <c r="H718" s="28" t="s">
        <v>16</v>
      </c>
      <c r="I718" s="28" t="s">
        <v>16</v>
      </c>
      <c r="J718" s="28" t="s">
        <v>16</v>
      </c>
      <c r="K718" s="28" t="s">
        <v>79</v>
      </c>
      <c r="L718" s="29">
        <f t="shared" si="16"/>
        <v>360.36</v>
      </c>
    </row>
    <row r="719" spans="2:12" x14ac:dyDescent="0.25">
      <c r="B719" s="27">
        <v>45509</v>
      </c>
      <c r="C719" s="28" t="s">
        <v>38</v>
      </c>
      <c r="D719" s="28">
        <v>2024</v>
      </c>
      <c r="E719" s="28" t="s">
        <v>15</v>
      </c>
      <c r="F719" s="38">
        <v>2</v>
      </c>
      <c r="G719" s="28" t="s">
        <v>108</v>
      </c>
      <c r="H719" s="28" t="s">
        <v>16</v>
      </c>
      <c r="I719" s="28" t="s">
        <v>16</v>
      </c>
      <c r="J719" s="28" t="s">
        <v>16</v>
      </c>
      <c r="K719" s="28" t="s">
        <v>76</v>
      </c>
      <c r="L719" s="29">
        <f t="shared" si="16"/>
        <v>27.72</v>
      </c>
    </row>
    <row r="720" spans="2:12" x14ac:dyDescent="0.25">
      <c r="B720" s="27">
        <v>45570</v>
      </c>
      <c r="C720" s="28" t="s">
        <v>38</v>
      </c>
      <c r="D720" s="28">
        <v>2024</v>
      </c>
      <c r="E720" s="28" t="s">
        <v>14</v>
      </c>
      <c r="F720" s="38">
        <v>26</v>
      </c>
      <c r="G720" s="28" t="s">
        <v>93</v>
      </c>
      <c r="H720" s="28" t="s">
        <v>16</v>
      </c>
      <c r="I720" s="28" t="s">
        <v>16</v>
      </c>
      <c r="J720" s="28" t="s">
        <v>16</v>
      </c>
      <c r="K720" s="28" t="s">
        <v>76</v>
      </c>
      <c r="L720" s="29">
        <f t="shared" si="16"/>
        <v>360.36</v>
      </c>
    </row>
    <row r="721" spans="2:12" x14ac:dyDescent="0.25">
      <c r="B721" s="27">
        <v>45570</v>
      </c>
      <c r="C721" s="28" t="s">
        <v>38</v>
      </c>
      <c r="D721" s="28">
        <v>2024</v>
      </c>
      <c r="E721" s="28" t="s">
        <v>14</v>
      </c>
      <c r="F721" s="38">
        <v>4</v>
      </c>
      <c r="G721" s="28" t="s">
        <v>93</v>
      </c>
      <c r="H721" s="28" t="s">
        <v>16</v>
      </c>
      <c r="I721" s="28" t="s">
        <v>16</v>
      </c>
      <c r="J721" s="28" t="s">
        <v>16</v>
      </c>
      <c r="K721" s="28" t="s">
        <v>76</v>
      </c>
      <c r="L721" s="29">
        <f t="shared" si="16"/>
        <v>55.44</v>
      </c>
    </row>
    <row r="722" spans="2:12" x14ac:dyDescent="0.25">
      <c r="B722" s="27">
        <v>45570</v>
      </c>
      <c r="C722" s="28" t="s">
        <v>38</v>
      </c>
      <c r="D722" s="28">
        <v>2024</v>
      </c>
      <c r="E722" s="28" t="s">
        <v>15</v>
      </c>
      <c r="F722" s="38">
        <v>24</v>
      </c>
      <c r="G722" s="28" t="s">
        <v>102</v>
      </c>
      <c r="H722" s="28" t="s">
        <v>16</v>
      </c>
      <c r="I722" s="28" t="s">
        <v>16</v>
      </c>
      <c r="J722" s="28" t="s">
        <v>16</v>
      </c>
      <c r="K722" s="28" t="s">
        <v>76</v>
      </c>
      <c r="L722" s="29">
        <f t="shared" si="16"/>
        <v>332.64</v>
      </c>
    </row>
    <row r="723" spans="2:12" x14ac:dyDescent="0.25">
      <c r="B723" s="27">
        <v>45601</v>
      </c>
      <c r="C723" s="28" t="s">
        <v>38</v>
      </c>
      <c r="D723" s="28">
        <v>2024</v>
      </c>
      <c r="E723" s="28" t="s">
        <v>14</v>
      </c>
      <c r="F723" s="38">
        <v>2</v>
      </c>
      <c r="G723" s="28" t="s">
        <v>85</v>
      </c>
      <c r="H723" s="28" t="s">
        <v>16</v>
      </c>
      <c r="I723" s="28" t="s">
        <v>16</v>
      </c>
      <c r="J723" s="28" t="s">
        <v>16</v>
      </c>
      <c r="K723" s="28" t="s">
        <v>73</v>
      </c>
      <c r="L723" s="29">
        <f t="shared" si="16"/>
        <v>27.72</v>
      </c>
    </row>
    <row r="724" spans="2:12" x14ac:dyDescent="0.25">
      <c r="B724" s="27">
        <v>45425</v>
      </c>
      <c r="C724" s="28" t="s">
        <v>38</v>
      </c>
      <c r="D724" s="28">
        <v>2024</v>
      </c>
      <c r="E724" s="28" t="s">
        <v>14</v>
      </c>
      <c r="F724" s="38">
        <v>26</v>
      </c>
      <c r="G724" s="28" t="s">
        <v>92</v>
      </c>
      <c r="H724" s="28" t="s">
        <v>16</v>
      </c>
      <c r="I724" s="28" t="s">
        <v>16</v>
      </c>
      <c r="J724" s="28" t="s">
        <v>16</v>
      </c>
      <c r="K724" s="28" t="s">
        <v>75</v>
      </c>
      <c r="L724" s="29">
        <f t="shared" si="16"/>
        <v>360.36</v>
      </c>
    </row>
    <row r="725" spans="2:12" x14ac:dyDescent="0.25">
      <c r="B725" s="27">
        <v>45426</v>
      </c>
      <c r="C725" s="28" t="s">
        <v>38</v>
      </c>
      <c r="D725" s="28">
        <v>2024</v>
      </c>
      <c r="E725" s="28" t="s">
        <v>15</v>
      </c>
      <c r="F725" s="38">
        <v>2</v>
      </c>
      <c r="G725" s="28" t="s">
        <v>99</v>
      </c>
      <c r="H725" s="28" t="s">
        <v>16</v>
      </c>
      <c r="I725" s="28" t="s">
        <v>16</v>
      </c>
      <c r="J725" s="28" t="s">
        <v>16</v>
      </c>
      <c r="K725" s="28" t="s">
        <v>76</v>
      </c>
      <c r="L725" s="29">
        <f t="shared" si="16"/>
        <v>27.72</v>
      </c>
    </row>
    <row r="726" spans="2:12" x14ac:dyDescent="0.25">
      <c r="B726" s="27">
        <v>45426</v>
      </c>
      <c r="C726" s="28" t="s">
        <v>38</v>
      </c>
      <c r="D726" s="28">
        <v>2024</v>
      </c>
      <c r="E726" s="28" t="s">
        <v>15</v>
      </c>
      <c r="F726" s="38">
        <v>5</v>
      </c>
      <c r="G726" s="28" t="s">
        <v>111</v>
      </c>
      <c r="H726" s="28" t="s">
        <v>16</v>
      </c>
      <c r="I726" s="28" t="s">
        <v>16</v>
      </c>
      <c r="J726" s="28" t="s">
        <v>16</v>
      </c>
      <c r="K726" s="28" t="s">
        <v>78</v>
      </c>
      <c r="L726" s="29">
        <f t="shared" si="16"/>
        <v>69.3</v>
      </c>
    </row>
    <row r="727" spans="2:12" x14ac:dyDescent="0.25">
      <c r="B727" s="27">
        <v>45427</v>
      </c>
      <c r="C727" s="28" t="s">
        <v>38</v>
      </c>
      <c r="D727" s="28">
        <v>2024</v>
      </c>
      <c r="E727" s="28" t="s">
        <v>14</v>
      </c>
      <c r="F727" s="38">
        <v>26</v>
      </c>
      <c r="G727" s="28" t="s">
        <v>92</v>
      </c>
      <c r="H727" s="28" t="s">
        <v>16</v>
      </c>
      <c r="I727" s="28" t="s">
        <v>16</v>
      </c>
      <c r="J727" s="28" t="s">
        <v>16</v>
      </c>
      <c r="K727" s="28" t="s">
        <v>81</v>
      </c>
      <c r="L727" s="29">
        <f t="shared" si="16"/>
        <v>360.36</v>
      </c>
    </row>
    <row r="728" spans="2:12" x14ac:dyDescent="0.25">
      <c r="B728" s="27">
        <v>45432</v>
      </c>
      <c r="C728" s="28" t="s">
        <v>38</v>
      </c>
      <c r="D728" s="28">
        <v>2024</v>
      </c>
      <c r="E728" s="28" t="s">
        <v>15</v>
      </c>
      <c r="F728" s="38">
        <v>2</v>
      </c>
      <c r="G728" s="28" t="s">
        <v>107</v>
      </c>
      <c r="H728" s="28" t="s">
        <v>16</v>
      </c>
      <c r="I728" s="28" t="s">
        <v>16</v>
      </c>
      <c r="J728" s="28" t="s">
        <v>16</v>
      </c>
      <c r="K728" s="28" t="s">
        <v>81</v>
      </c>
      <c r="L728" s="29">
        <f t="shared" si="16"/>
        <v>27.72</v>
      </c>
    </row>
    <row r="729" spans="2:12" x14ac:dyDescent="0.25">
      <c r="B729" s="27">
        <v>45436</v>
      </c>
      <c r="C729" s="28" t="s">
        <v>38</v>
      </c>
      <c r="D729" s="28">
        <v>2024</v>
      </c>
      <c r="E729" s="28" t="s">
        <v>15</v>
      </c>
      <c r="F729" s="38">
        <v>2</v>
      </c>
      <c r="G729" s="28" t="s">
        <v>93</v>
      </c>
      <c r="H729" s="28" t="s">
        <v>16</v>
      </c>
      <c r="I729" s="28" t="s">
        <v>16</v>
      </c>
      <c r="J729" s="28" t="s">
        <v>16</v>
      </c>
      <c r="K729" s="28" t="s">
        <v>81</v>
      </c>
      <c r="L729" s="29">
        <f t="shared" si="16"/>
        <v>27.72</v>
      </c>
    </row>
    <row r="730" spans="2:12" x14ac:dyDescent="0.25">
      <c r="B730" s="27">
        <v>45437</v>
      </c>
      <c r="C730" s="28" t="s">
        <v>38</v>
      </c>
      <c r="D730" s="28">
        <v>2024</v>
      </c>
      <c r="E730" s="28" t="s">
        <v>15</v>
      </c>
      <c r="F730" s="38">
        <v>15</v>
      </c>
      <c r="G730" s="28" t="s">
        <v>93</v>
      </c>
      <c r="H730" s="28" t="s">
        <v>16</v>
      </c>
      <c r="I730" s="28" t="s">
        <v>16</v>
      </c>
      <c r="J730" s="28" t="s">
        <v>16</v>
      </c>
      <c r="K730" s="28" t="s">
        <v>81</v>
      </c>
      <c r="L730" s="29">
        <f t="shared" si="16"/>
        <v>207.89999999999998</v>
      </c>
    </row>
    <row r="731" spans="2:12" x14ac:dyDescent="0.25">
      <c r="B731" s="27">
        <v>45437</v>
      </c>
      <c r="C731" s="28" t="s">
        <v>38</v>
      </c>
      <c r="D731" s="28">
        <v>2024</v>
      </c>
      <c r="E731" s="28" t="s">
        <v>15</v>
      </c>
      <c r="F731" s="38">
        <v>10</v>
      </c>
      <c r="G731" s="28" t="s">
        <v>93</v>
      </c>
      <c r="H731" s="28" t="s">
        <v>16</v>
      </c>
      <c r="I731" s="28" t="s">
        <v>16</v>
      </c>
      <c r="J731" s="28" t="s">
        <v>16</v>
      </c>
      <c r="K731" s="28" t="s">
        <v>81</v>
      </c>
      <c r="L731" s="29">
        <f t="shared" si="16"/>
        <v>138.6</v>
      </c>
    </row>
    <row r="732" spans="2:12" x14ac:dyDescent="0.25">
      <c r="B732" s="27">
        <v>45438</v>
      </c>
      <c r="C732" s="28" t="s">
        <v>38</v>
      </c>
      <c r="D732" s="28">
        <v>2024</v>
      </c>
      <c r="E732" s="28" t="s">
        <v>14</v>
      </c>
      <c r="F732" s="38">
        <v>26</v>
      </c>
      <c r="G732" s="28" t="s">
        <v>111</v>
      </c>
      <c r="H732" s="28" t="s">
        <v>16</v>
      </c>
      <c r="I732" s="28" t="s">
        <v>16</v>
      </c>
      <c r="J732" s="28" t="s">
        <v>16</v>
      </c>
      <c r="K732" s="28" t="s">
        <v>79</v>
      </c>
      <c r="L732" s="29">
        <f t="shared" si="16"/>
        <v>360.36</v>
      </c>
    </row>
    <row r="733" spans="2:12" x14ac:dyDescent="0.25">
      <c r="B733" s="27">
        <v>45439</v>
      </c>
      <c r="C733" s="28" t="s">
        <v>38</v>
      </c>
      <c r="D733" s="28">
        <v>2024</v>
      </c>
      <c r="E733" s="28" t="s">
        <v>15</v>
      </c>
      <c r="F733" s="38">
        <v>24</v>
      </c>
      <c r="G733" s="28" t="s">
        <v>100</v>
      </c>
      <c r="H733" s="28" t="s">
        <v>16</v>
      </c>
      <c r="I733" s="28" t="s">
        <v>16</v>
      </c>
      <c r="J733" s="28" t="s">
        <v>16</v>
      </c>
      <c r="K733" s="28" t="s">
        <v>76</v>
      </c>
      <c r="L733" s="29">
        <f t="shared" si="16"/>
        <v>332.64</v>
      </c>
    </row>
    <row r="734" spans="2:12" x14ac:dyDescent="0.25">
      <c r="B734" s="27">
        <v>45439</v>
      </c>
      <c r="C734" s="28" t="s">
        <v>38</v>
      </c>
      <c r="D734" s="28">
        <v>2024</v>
      </c>
      <c r="E734" s="28" t="s">
        <v>14</v>
      </c>
      <c r="F734" s="38">
        <v>26</v>
      </c>
      <c r="G734" s="28" t="s">
        <v>108</v>
      </c>
      <c r="H734" s="28" t="s">
        <v>16</v>
      </c>
      <c r="I734" s="28" t="s">
        <v>16</v>
      </c>
      <c r="J734" s="28" t="s">
        <v>16</v>
      </c>
      <c r="K734" s="28" t="s">
        <v>78</v>
      </c>
      <c r="L734" s="29">
        <f t="shared" si="16"/>
        <v>360.36</v>
      </c>
    </row>
    <row r="735" spans="2:12" x14ac:dyDescent="0.25">
      <c r="B735" s="27">
        <v>45441</v>
      </c>
      <c r="C735" s="28" t="s">
        <v>38</v>
      </c>
      <c r="D735" s="28">
        <v>2024</v>
      </c>
      <c r="E735" s="28" t="s">
        <v>15</v>
      </c>
      <c r="F735" s="38">
        <v>26</v>
      </c>
      <c r="G735" s="28" t="s">
        <v>101</v>
      </c>
      <c r="H735" s="28" t="s">
        <v>16</v>
      </c>
      <c r="I735" s="28" t="s">
        <v>16</v>
      </c>
      <c r="J735" s="28" t="s">
        <v>16</v>
      </c>
      <c r="K735" s="28" t="s">
        <v>73</v>
      </c>
      <c r="L735" s="29">
        <f t="shared" si="16"/>
        <v>360.36</v>
      </c>
    </row>
    <row r="736" spans="2:12" x14ac:dyDescent="0.25">
      <c r="B736" s="27">
        <v>45441</v>
      </c>
      <c r="C736" s="28" t="s">
        <v>38</v>
      </c>
      <c r="D736" s="28">
        <v>2024</v>
      </c>
      <c r="E736" s="28" t="s">
        <v>14</v>
      </c>
      <c r="F736" s="38">
        <v>4</v>
      </c>
      <c r="G736" s="28" t="s">
        <v>111</v>
      </c>
      <c r="H736" s="28" t="s">
        <v>16</v>
      </c>
      <c r="I736" s="28" t="s">
        <v>16</v>
      </c>
      <c r="J736" s="28" t="s">
        <v>16</v>
      </c>
      <c r="K736" s="28" t="s">
        <v>81</v>
      </c>
      <c r="L736" s="29">
        <f t="shared" si="16"/>
        <v>55.44</v>
      </c>
    </row>
    <row r="737" spans="2:12" x14ac:dyDescent="0.25">
      <c r="B737" s="27">
        <v>45441</v>
      </c>
      <c r="C737" s="28" t="s">
        <v>38</v>
      </c>
      <c r="D737" s="28">
        <v>2024</v>
      </c>
      <c r="E737" s="28" t="s">
        <v>15</v>
      </c>
      <c r="F737" s="38">
        <v>28</v>
      </c>
      <c r="G737" s="28" t="s">
        <v>110</v>
      </c>
      <c r="H737" s="28" t="s">
        <v>16</v>
      </c>
      <c r="I737" s="28" t="s">
        <v>16</v>
      </c>
      <c r="J737" s="28" t="s">
        <v>16</v>
      </c>
      <c r="K737" s="28" t="s">
        <v>75</v>
      </c>
      <c r="L737" s="29">
        <f t="shared" si="16"/>
        <v>388.08</v>
      </c>
    </row>
    <row r="738" spans="2:12" x14ac:dyDescent="0.25">
      <c r="B738" s="27">
        <v>45441</v>
      </c>
      <c r="C738" s="28" t="s">
        <v>38</v>
      </c>
      <c r="D738" s="28">
        <v>2024</v>
      </c>
      <c r="E738" s="28" t="s">
        <v>14</v>
      </c>
      <c r="F738" s="38">
        <v>22</v>
      </c>
      <c r="G738" s="28" t="s">
        <v>108</v>
      </c>
      <c r="H738" s="28" t="s">
        <v>16</v>
      </c>
      <c r="I738" s="28" t="s">
        <v>16</v>
      </c>
      <c r="J738" s="28" t="s">
        <v>16</v>
      </c>
      <c r="K738" s="28" t="s">
        <v>81</v>
      </c>
      <c r="L738" s="29">
        <f t="shared" si="16"/>
        <v>304.91999999999996</v>
      </c>
    </row>
    <row r="739" spans="2:12" x14ac:dyDescent="0.25">
      <c r="B739" s="27">
        <v>45441</v>
      </c>
      <c r="C739" s="28" t="s">
        <v>38</v>
      </c>
      <c r="D739" s="28">
        <v>2024</v>
      </c>
      <c r="E739" s="28" t="s">
        <v>15</v>
      </c>
      <c r="F739" s="38">
        <v>26</v>
      </c>
      <c r="G739" s="28" t="s">
        <v>101</v>
      </c>
      <c r="H739" s="28" t="s">
        <v>16</v>
      </c>
      <c r="I739" s="28" t="s">
        <v>16</v>
      </c>
      <c r="J739" s="28" t="s">
        <v>16</v>
      </c>
      <c r="K739" s="28" t="s">
        <v>81</v>
      </c>
      <c r="L739" s="29">
        <f t="shared" si="16"/>
        <v>360.36</v>
      </c>
    </row>
    <row r="740" spans="2:12" x14ac:dyDescent="0.25">
      <c r="B740" s="27">
        <v>45443</v>
      </c>
      <c r="C740" s="28" t="s">
        <v>38</v>
      </c>
      <c r="D740" s="28">
        <v>2024</v>
      </c>
      <c r="E740" s="28" t="s">
        <v>14</v>
      </c>
      <c r="F740" s="38">
        <v>4</v>
      </c>
      <c r="G740" s="28" t="s">
        <v>99</v>
      </c>
      <c r="H740" s="28" t="s">
        <v>16</v>
      </c>
      <c r="I740" s="28" t="s">
        <v>16</v>
      </c>
      <c r="J740" s="28" t="s">
        <v>16</v>
      </c>
      <c r="K740" s="28" t="s">
        <v>76</v>
      </c>
      <c r="L740" s="29">
        <f t="shared" si="16"/>
        <v>55.44</v>
      </c>
    </row>
    <row r="741" spans="2:12" x14ac:dyDescent="0.25">
      <c r="B741" s="27">
        <v>45443</v>
      </c>
      <c r="C741" s="28" t="s">
        <v>38</v>
      </c>
      <c r="D741" s="28">
        <v>2024</v>
      </c>
      <c r="E741" s="28" t="s">
        <v>15</v>
      </c>
      <c r="F741" s="38">
        <v>26</v>
      </c>
      <c r="G741" s="28" t="s">
        <v>100</v>
      </c>
      <c r="H741" s="28" t="s">
        <v>16</v>
      </c>
      <c r="I741" s="28" t="s">
        <v>16</v>
      </c>
      <c r="J741" s="28" t="s">
        <v>16</v>
      </c>
      <c r="K741" s="28" t="s">
        <v>76</v>
      </c>
      <c r="L741" s="29">
        <f t="shared" si="16"/>
        <v>360.36</v>
      </c>
    </row>
    <row r="742" spans="2:12" x14ac:dyDescent="0.25">
      <c r="B742" s="27">
        <v>45443</v>
      </c>
      <c r="C742" s="28" t="s">
        <v>38</v>
      </c>
      <c r="D742" s="28">
        <v>2024</v>
      </c>
      <c r="E742" s="28" t="s">
        <v>15</v>
      </c>
      <c r="F742" s="38">
        <v>7</v>
      </c>
      <c r="G742" s="28" t="s">
        <v>111</v>
      </c>
      <c r="H742" s="28" t="s">
        <v>16</v>
      </c>
      <c r="I742" s="28" t="s">
        <v>16</v>
      </c>
      <c r="J742" s="28" t="s">
        <v>16</v>
      </c>
      <c r="K742" s="28" t="s">
        <v>76</v>
      </c>
      <c r="L742" s="29">
        <f t="shared" si="16"/>
        <v>97.02</v>
      </c>
    </row>
    <row r="743" spans="2:12" x14ac:dyDescent="0.25">
      <c r="B743" s="27">
        <v>45443</v>
      </c>
      <c r="C743" s="28" t="s">
        <v>38</v>
      </c>
      <c r="D743" s="28">
        <v>2024</v>
      </c>
      <c r="E743" s="28" t="s">
        <v>15</v>
      </c>
      <c r="F743" s="38">
        <v>5</v>
      </c>
      <c r="G743" s="28" t="s">
        <v>108</v>
      </c>
      <c r="H743" s="28" t="s">
        <v>16</v>
      </c>
      <c r="I743" s="28" t="s">
        <v>16</v>
      </c>
      <c r="J743" s="28" t="s">
        <v>16</v>
      </c>
      <c r="K743" s="28" t="s">
        <v>76</v>
      </c>
      <c r="L743" s="29">
        <f t="shared" si="16"/>
        <v>69.3</v>
      </c>
    </row>
    <row r="744" spans="2:12" x14ac:dyDescent="0.25">
      <c r="B744" s="27">
        <v>45443</v>
      </c>
      <c r="C744" s="28" t="s">
        <v>38</v>
      </c>
      <c r="D744" s="28">
        <v>2024</v>
      </c>
      <c r="E744" s="28" t="s">
        <v>15</v>
      </c>
      <c r="F744" s="38">
        <v>3</v>
      </c>
      <c r="G744" s="28" t="s">
        <v>111</v>
      </c>
      <c r="H744" s="28" t="s">
        <v>16</v>
      </c>
      <c r="I744" s="28" t="s">
        <v>16</v>
      </c>
      <c r="J744" s="28" t="s">
        <v>16</v>
      </c>
      <c r="K744" s="28" t="s">
        <v>76</v>
      </c>
      <c r="L744" s="29">
        <f t="shared" si="16"/>
        <v>41.58</v>
      </c>
    </row>
    <row r="745" spans="2:12" x14ac:dyDescent="0.25">
      <c r="B745" s="27">
        <v>45443</v>
      </c>
      <c r="C745" s="28" t="s">
        <v>38</v>
      </c>
      <c r="D745" s="28">
        <v>2024</v>
      </c>
      <c r="E745" s="28" t="s">
        <v>15</v>
      </c>
      <c r="F745" s="38">
        <v>4</v>
      </c>
      <c r="G745" s="28" t="s">
        <v>111</v>
      </c>
      <c r="H745" s="28" t="s">
        <v>16</v>
      </c>
      <c r="I745" s="28" t="s">
        <v>16</v>
      </c>
      <c r="J745" s="28" t="s">
        <v>16</v>
      </c>
      <c r="K745" s="28" t="s">
        <v>76</v>
      </c>
      <c r="L745" s="29">
        <f t="shared" si="16"/>
        <v>55.44</v>
      </c>
    </row>
    <row r="746" spans="2:12" x14ac:dyDescent="0.25">
      <c r="B746" s="27">
        <v>45297</v>
      </c>
      <c r="C746" s="28" t="s">
        <v>39</v>
      </c>
      <c r="D746" s="28">
        <v>2024</v>
      </c>
      <c r="E746" s="28" t="s">
        <v>15</v>
      </c>
      <c r="F746" s="38">
        <v>16</v>
      </c>
      <c r="G746" s="28" t="s">
        <v>92</v>
      </c>
      <c r="H746" s="28" t="s">
        <v>16</v>
      </c>
      <c r="I746" s="28" t="s">
        <v>16</v>
      </c>
      <c r="J746" s="28" t="s">
        <v>16</v>
      </c>
      <c r="K746" s="28" t="s">
        <v>81</v>
      </c>
      <c r="L746" s="29">
        <f t="shared" si="16"/>
        <v>221.76</v>
      </c>
    </row>
    <row r="747" spans="2:12" x14ac:dyDescent="0.25">
      <c r="B747" s="27">
        <v>45328</v>
      </c>
      <c r="C747" s="28" t="s">
        <v>39</v>
      </c>
      <c r="D747" s="28">
        <v>2024</v>
      </c>
      <c r="E747" s="28" t="s">
        <v>15</v>
      </c>
      <c r="F747" s="38">
        <v>26</v>
      </c>
      <c r="G747" s="28" t="s">
        <v>110</v>
      </c>
      <c r="H747" s="28" t="s">
        <v>16</v>
      </c>
      <c r="I747" s="28" t="s">
        <v>16</v>
      </c>
      <c r="J747" s="28" t="s">
        <v>16</v>
      </c>
      <c r="K747" s="28" t="s">
        <v>81</v>
      </c>
      <c r="L747" s="29">
        <f t="shared" si="16"/>
        <v>360.36</v>
      </c>
    </row>
    <row r="748" spans="2:12" x14ac:dyDescent="0.25">
      <c r="B748" s="27">
        <v>45328</v>
      </c>
      <c r="C748" s="28" t="s">
        <v>39</v>
      </c>
      <c r="D748" s="28">
        <v>2024</v>
      </c>
      <c r="E748" s="28" t="s">
        <v>15</v>
      </c>
      <c r="F748" s="38">
        <v>4</v>
      </c>
      <c r="G748" s="28" t="s">
        <v>85</v>
      </c>
      <c r="H748" s="28" t="s">
        <v>16</v>
      </c>
      <c r="I748" s="28" t="s">
        <v>16</v>
      </c>
      <c r="J748" s="28" t="s">
        <v>16</v>
      </c>
      <c r="K748" s="28" t="s">
        <v>76</v>
      </c>
      <c r="L748" s="29">
        <f t="shared" si="16"/>
        <v>55.44</v>
      </c>
    </row>
    <row r="749" spans="2:12" x14ac:dyDescent="0.25">
      <c r="B749" s="27">
        <v>45328</v>
      </c>
      <c r="C749" s="28" t="s">
        <v>39</v>
      </c>
      <c r="D749" s="28">
        <v>2024</v>
      </c>
      <c r="E749" s="28" t="s">
        <v>15</v>
      </c>
      <c r="F749" s="38">
        <v>26</v>
      </c>
      <c r="G749" s="28" t="s">
        <v>101</v>
      </c>
      <c r="H749" s="28" t="s">
        <v>16</v>
      </c>
      <c r="I749" s="28" t="s">
        <v>16</v>
      </c>
      <c r="J749" s="28" t="s">
        <v>16</v>
      </c>
      <c r="K749" s="28" t="s">
        <v>75</v>
      </c>
      <c r="L749" s="29">
        <f t="shared" si="16"/>
        <v>360.36</v>
      </c>
    </row>
    <row r="750" spans="2:12" x14ac:dyDescent="0.25">
      <c r="B750" s="27">
        <v>45388</v>
      </c>
      <c r="C750" s="28" t="s">
        <v>39</v>
      </c>
      <c r="D750" s="28">
        <v>2024</v>
      </c>
      <c r="E750" s="28" t="s">
        <v>15</v>
      </c>
      <c r="F750" s="38">
        <v>26</v>
      </c>
      <c r="G750" s="28" t="s">
        <v>101</v>
      </c>
      <c r="H750" s="28" t="s">
        <v>16</v>
      </c>
      <c r="I750" s="28" t="s">
        <v>16</v>
      </c>
      <c r="J750" s="28" t="s">
        <v>16</v>
      </c>
      <c r="K750" s="28" t="s">
        <v>78</v>
      </c>
      <c r="L750" s="29">
        <f t="shared" si="16"/>
        <v>360.36</v>
      </c>
    </row>
    <row r="751" spans="2:12" x14ac:dyDescent="0.25">
      <c r="B751" s="27">
        <v>45418</v>
      </c>
      <c r="C751" s="28" t="s">
        <v>39</v>
      </c>
      <c r="D751" s="28">
        <v>2024</v>
      </c>
      <c r="E751" s="28" t="s">
        <v>15</v>
      </c>
      <c r="F751" s="38">
        <v>26</v>
      </c>
      <c r="G751" s="28" t="s">
        <v>86</v>
      </c>
      <c r="H751" s="28" t="s">
        <v>16</v>
      </c>
      <c r="I751" s="28" t="s">
        <v>16</v>
      </c>
      <c r="J751" s="28" t="s">
        <v>16</v>
      </c>
      <c r="K751" s="28" t="s">
        <v>75</v>
      </c>
      <c r="L751" s="29">
        <f t="shared" si="16"/>
        <v>360.36</v>
      </c>
    </row>
    <row r="752" spans="2:12" x14ac:dyDescent="0.25">
      <c r="B752" s="27">
        <v>45479</v>
      </c>
      <c r="C752" s="28" t="s">
        <v>39</v>
      </c>
      <c r="D752" s="28">
        <v>2024</v>
      </c>
      <c r="E752" s="28" t="s">
        <v>15</v>
      </c>
      <c r="F752" s="38">
        <v>26</v>
      </c>
      <c r="G752" s="28" t="s">
        <v>101</v>
      </c>
      <c r="H752" s="28" t="s">
        <v>16</v>
      </c>
      <c r="I752" s="28" t="s">
        <v>16</v>
      </c>
      <c r="J752" s="28" t="s">
        <v>16</v>
      </c>
      <c r="K752" s="28" t="s">
        <v>78</v>
      </c>
      <c r="L752" s="29">
        <f t="shared" ref="L752:L775" si="17">F752*13.86</f>
        <v>360.36</v>
      </c>
    </row>
    <row r="753" spans="2:12" x14ac:dyDescent="0.25">
      <c r="B753" s="27">
        <v>45510</v>
      </c>
      <c r="C753" s="28" t="s">
        <v>39</v>
      </c>
      <c r="D753" s="28">
        <v>2024</v>
      </c>
      <c r="E753" s="28" t="s">
        <v>15</v>
      </c>
      <c r="F753" s="38">
        <v>26</v>
      </c>
      <c r="G753" s="28" t="s">
        <v>101</v>
      </c>
      <c r="H753" s="28" t="s">
        <v>16</v>
      </c>
      <c r="I753" s="28" t="s">
        <v>16</v>
      </c>
      <c r="J753" s="28" t="s">
        <v>16</v>
      </c>
      <c r="K753" s="28" t="s">
        <v>73</v>
      </c>
      <c r="L753" s="29">
        <f t="shared" si="17"/>
        <v>360.36</v>
      </c>
    </row>
    <row r="754" spans="2:12" x14ac:dyDescent="0.25">
      <c r="B754" s="27">
        <v>45510</v>
      </c>
      <c r="C754" s="28" t="s">
        <v>39</v>
      </c>
      <c r="D754" s="28">
        <v>2024</v>
      </c>
      <c r="E754" s="28" t="s">
        <v>15</v>
      </c>
      <c r="F754" s="38">
        <v>26</v>
      </c>
      <c r="G754" s="28" t="s">
        <v>92</v>
      </c>
      <c r="H754" s="28" t="s">
        <v>16</v>
      </c>
      <c r="I754" s="28" t="s">
        <v>16</v>
      </c>
      <c r="J754" s="28" t="s">
        <v>16</v>
      </c>
      <c r="K754" s="28" t="s">
        <v>76</v>
      </c>
      <c r="L754" s="29">
        <f t="shared" si="17"/>
        <v>360.36</v>
      </c>
    </row>
    <row r="755" spans="2:12" x14ac:dyDescent="0.25">
      <c r="B755" s="27">
        <v>45510</v>
      </c>
      <c r="C755" s="28" t="s">
        <v>39</v>
      </c>
      <c r="D755" s="28">
        <v>2024</v>
      </c>
      <c r="E755" s="28" t="s">
        <v>15</v>
      </c>
      <c r="F755" s="38">
        <v>26</v>
      </c>
      <c r="G755" s="28" t="s">
        <v>110</v>
      </c>
      <c r="H755" s="28" t="s">
        <v>16</v>
      </c>
      <c r="I755" s="28" t="s">
        <v>16</v>
      </c>
      <c r="J755" s="28" t="s">
        <v>16</v>
      </c>
      <c r="K755" s="28" t="s">
        <v>76</v>
      </c>
      <c r="L755" s="29">
        <f t="shared" si="17"/>
        <v>360.36</v>
      </c>
    </row>
    <row r="756" spans="2:12" x14ac:dyDescent="0.25">
      <c r="B756" s="27">
        <v>45510</v>
      </c>
      <c r="C756" s="28" t="s">
        <v>39</v>
      </c>
      <c r="D756" s="28">
        <v>2024</v>
      </c>
      <c r="E756" s="28" t="s">
        <v>15</v>
      </c>
      <c r="F756" s="38">
        <v>10</v>
      </c>
      <c r="G756" s="28" t="s">
        <v>111</v>
      </c>
      <c r="H756" s="28" t="s">
        <v>16</v>
      </c>
      <c r="I756" s="28" t="s">
        <v>16</v>
      </c>
      <c r="J756" s="28" t="s">
        <v>16</v>
      </c>
      <c r="K756" s="28" t="s">
        <v>73</v>
      </c>
      <c r="L756" s="29">
        <f t="shared" si="17"/>
        <v>138.6</v>
      </c>
    </row>
    <row r="757" spans="2:12" x14ac:dyDescent="0.25">
      <c r="B757" s="27">
        <v>45510</v>
      </c>
      <c r="C757" s="28" t="s">
        <v>39</v>
      </c>
      <c r="D757" s="28">
        <v>2024</v>
      </c>
      <c r="E757" s="28" t="s">
        <v>15</v>
      </c>
      <c r="F757" s="38">
        <v>2</v>
      </c>
      <c r="G757" s="28" t="s">
        <v>111</v>
      </c>
      <c r="H757" s="28" t="s">
        <v>16</v>
      </c>
      <c r="I757" s="28" t="s">
        <v>16</v>
      </c>
      <c r="J757" s="28" t="s">
        <v>16</v>
      </c>
      <c r="K757" s="28" t="s">
        <v>73</v>
      </c>
      <c r="L757" s="29">
        <f t="shared" si="17"/>
        <v>27.72</v>
      </c>
    </row>
    <row r="758" spans="2:12" x14ac:dyDescent="0.25">
      <c r="B758" s="27">
        <v>45510</v>
      </c>
      <c r="C758" s="28" t="s">
        <v>39</v>
      </c>
      <c r="D758" s="28">
        <v>2024</v>
      </c>
      <c r="E758" s="28" t="s">
        <v>15</v>
      </c>
      <c r="F758" s="38">
        <v>26</v>
      </c>
      <c r="G758" s="28" t="s">
        <v>110</v>
      </c>
      <c r="H758" s="28" t="s">
        <v>16</v>
      </c>
      <c r="I758" s="28" t="s">
        <v>16</v>
      </c>
      <c r="J758" s="28" t="s">
        <v>16</v>
      </c>
      <c r="K758" s="28" t="s">
        <v>76</v>
      </c>
      <c r="L758" s="29">
        <f t="shared" si="17"/>
        <v>360.36</v>
      </c>
    </row>
    <row r="759" spans="2:12" x14ac:dyDescent="0.25">
      <c r="B759" s="27">
        <v>45457</v>
      </c>
      <c r="C759" s="28" t="s">
        <v>39</v>
      </c>
      <c r="D759" s="28">
        <v>2024</v>
      </c>
      <c r="E759" s="28" t="s">
        <v>15</v>
      </c>
      <c r="F759" s="38">
        <v>26</v>
      </c>
      <c r="G759" s="28" t="s">
        <v>92</v>
      </c>
      <c r="H759" s="28" t="s">
        <v>16</v>
      </c>
      <c r="I759" s="28" t="s">
        <v>16</v>
      </c>
      <c r="J759" s="28" t="s">
        <v>16</v>
      </c>
      <c r="K759" s="28" t="s">
        <v>74</v>
      </c>
      <c r="L759" s="29">
        <f t="shared" si="17"/>
        <v>360.36</v>
      </c>
    </row>
    <row r="760" spans="2:12" x14ac:dyDescent="0.25">
      <c r="B760" s="27">
        <v>45457</v>
      </c>
      <c r="C760" s="28" t="s">
        <v>39</v>
      </c>
      <c r="D760" s="28">
        <v>2024</v>
      </c>
      <c r="E760" s="28" t="s">
        <v>15</v>
      </c>
      <c r="F760" s="38">
        <v>26</v>
      </c>
      <c r="G760" s="28" t="s">
        <v>111</v>
      </c>
      <c r="H760" s="28" t="s">
        <v>16</v>
      </c>
      <c r="I760" s="28" t="s">
        <v>16</v>
      </c>
      <c r="J760" s="28" t="s">
        <v>16</v>
      </c>
      <c r="K760" s="28" t="s">
        <v>74</v>
      </c>
      <c r="L760" s="29">
        <f t="shared" si="17"/>
        <v>360.36</v>
      </c>
    </row>
    <row r="761" spans="2:12" x14ac:dyDescent="0.25">
      <c r="B761" s="27">
        <v>45458</v>
      </c>
      <c r="C761" s="28" t="s">
        <v>39</v>
      </c>
      <c r="D761" s="28">
        <v>2024</v>
      </c>
      <c r="E761" s="28" t="s">
        <v>15</v>
      </c>
      <c r="F761" s="38">
        <v>6</v>
      </c>
      <c r="G761" s="28" t="s">
        <v>86</v>
      </c>
      <c r="H761" s="28" t="s">
        <v>16</v>
      </c>
      <c r="I761" s="28" t="s">
        <v>16</v>
      </c>
      <c r="J761" s="28" t="s">
        <v>16</v>
      </c>
      <c r="K761" s="28" t="s">
        <v>75</v>
      </c>
      <c r="L761" s="29">
        <f t="shared" si="17"/>
        <v>83.16</v>
      </c>
    </row>
    <row r="762" spans="2:12" x14ac:dyDescent="0.25">
      <c r="B762" s="27">
        <v>45458</v>
      </c>
      <c r="C762" s="28" t="s">
        <v>39</v>
      </c>
      <c r="D762" s="28">
        <v>2024</v>
      </c>
      <c r="E762" s="28" t="s">
        <v>15</v>
      </c>
      <c r="F762" s="38">
        <v>24</v>
      </c>
      <c r="G762" s="28" t="s">
        <v>92</v>
      </c>
      <c r="H762" s="28" t="s">
        <v>16</v>
      </c>
      <c r="I762" s="28" t="s">
        <v>16</v>
      </c>
      <c r="J762" s="28" t="s">
        <v>16</v>
      </c>
      <c r="K762" s="28" t="s">
        <v>81</v>
      </c>
      <c r="L762" s="29">
        <f t="shared" si="17"/>
        <v>332.64</v>
      </c>
    </row>
    <row r="763" spans="2:12" x14ac:dyDescent="0.25">
      <c r="B763" s="27">
        <v>45458</v>
      </c>
      <c r="C763" s="28" t="s">
        <v>39</v>
      </c>
      <c r="D763" s="28">
        <v>2024</v>
      </c>
      <c r="E763" s="28" t="s">
        <v>15</v>
      </c>
      <c r="F763" s="38">
        <v>26</v>
      </c>
      <c r="G763" s="28" t="s">
        <v>110</v>
      </c>
      <c r="H763" s="28" t="s">
        <v>16</v>
      </c>
      <c r="I763" s="28" t="s">
        <v>16</v>
      </c>
      <c r="J763" s="28" t="s">
        <v>16</v>
      </c>
      <c r="K763" s="28" t="s">
        <v>81</v>
      </c>
      <c r="L763" s="29">
        <f t="shared" si="17"/>
        <v>360.36</v>
      </c>
    </row>
    <row r="764" spans="2:12" x14ac:dyDescent="0.25">
      <c r="B764" s="27">
        <v>45464</v>
      </c>
      <c r="C764" s="28" t="s">
        <v>39</v>
      </c>
      <c r="D764" s="28">
        <v>2024</v>
      </c>
      <c r="E764" s="28" t="s">
        <v>14</v>
      </c>
      <c r="F764" s="38">
        <v>1</v>
      </c>
      <c r="G764" s="28" t="s">
        <v>93</v>
      </c>
      <c r="H764" s="28" t="s">
        <v>16</v>
      </c>
      <c r="I764" s="28" t="s">
        <v>16</v>
      </c>
      <c r="J764" s="28" t="s">
        <v>16</v>
      </c>
      <c r="K764" s="28" t="s">
        <v>76</v>
      </c>
      <c r="L764" s="29">
        <f t="shared" si="17"/>
        <v>13.86</v>
      </c>
    </row>
    <row r="765" spans="2:12" x14ac:dyDescent="0.25">
      <c r="B765" s="27">
        <v>45464</v>
      </c>
      <c r="C765" s="28" t="s">
        <v>39</v>
      </c>
      <c r="D765" s="28">
        <v>2024</v>
      </c>
      <c r="E765" s="28" t="s">
        <v>15</v>
      </c>
      <c r="F765" s="38">
        <v>4</v>
      </c>
      <c r="G765" s="28" t="s">
        <v>111</v>
      </c>
      <c r="H765" s="28" t="s">
        <v>16</v>
      </c>
      <c r="I765" s="28" t="s">
        <v>16</v>
      </c>
      <c r="J765" s="28" t="s">
        <v>16</v>
      </c>
      <c r="K765" s="28" t="s">
        <v>76</v>
      </c>
      <c r="L765" s="29">
        <f t="shared" si="17"/>
        <v>55.44</v>
      </c>
    </row>
    <row r="766" spans="2:12" x14ac:dyDescent="0.25">
      <c r="B766" s="27">
        <v>45464</v>
      </c>
      <c r="C766" s="28" t="s">
        <v>39</v>
      </c>
      <c r="D766" s="28">
        <v>2024</v>
      </c>
      <c r="E766" s="28" t="s">
        <v>14</v>
      </c>
      <c r="F766" s="38">
        <v>16</v>
      </c>
      <c r="G766" s="28" t="s">
        <v>93</v>
      </c>
      <c r="H766" s="28" t="s">
        <v>16</v>
      </c>
      <c r="I766" s="28" t="s">
        <v>16</v>
      </c>
      <c r="J766" s="28" t="s">
        <v>16</v>
      </c>
      <c r="K766" s="28" t="s">
        <v>76</v>
      </c>
      <c r="L766" s="29">
        <f t="shared" si="17"/>
        <v>221.76</v>
      </c>
    </row>
    <row r="767" spans="2:12" x14ac:dyDescent="0.25">
      <c r="B767" s="27">
        <v>45465</v>
      </c>
      <c r="C767" s="28" t="s">
        <v>39</v>
      </c>
      <c r="D767" s="28">
        <v>2024</v>
      </c>
      <c r="E767" s="28" t="s">
        <v>14</v>
      </c>
      <c r="F767" s="38">
        <v>26</v>
      </c>
      <c r="G767" s="28" t="s">
        <v>99</v>
      </c>
      <c r="H767" s="28" t="s">
        <v>16</v>
      </c>
      <c r="I767" s="28" t="s">
        <v>16</v>
      </c>
      <c r="J767" s="28" t="s">
        <v>16</v>
      </c>
      <c r="K767" s="28" t="s">
        <v>78</v>
      </c>
      <c r="L767" s="29">
        <f t="shared" si="17"/>
        <v>360.36</v>
      </c>
    </row>
    <row r="768" spans="2:12" x14ac:dyDescent="0.25">
      <c r="B768" s="27">
        <v>45465</v>
      </c>
      <c r="C768" s="28" t="s">
        <v>39</v>
      </c>
      <c r="D768" s="28">
        <v>2024</v>
      </c>
      <c r="E768" s="28" t="s">
        <v>15</v>
      </c>
      <c r="F768" s="38">
        <v>26</v>
      </c>
      <c r="G768" s="28" t="s">
        <v>110</v>
      </c>
      <c r="H768" s="28" t="s">
        <v>16</v>
      </c>
      <c r="I768" s="28" t="s">
        <v>16</v>
      </c>
      <c r="J768" s="28" t="s">
        <v>16</v>
      </c>
      <c r="K768" s="28" t="s">
        <v>79</v>
      </c>
      <c r="L768" s="29">
        <f t="shared" si="17"/>
        <v>360.36</v>
      </c>
    </row>
    <row r="769" spans="2:12" x14ac:dyDescent="0.25">
      <c r="B769" s="27">
        <v>45466</v>
      </c>
      <c r="C769" s="28" t="s">
        <v>39</v>
      </c>
      <c r="D769" s="28">
        <v>2024</v>
      </c>
      <c r="E769" s="28" t="s">
        <v>15</v>
      </c>
      <c r="F769" s="38">
        <v>26</v>
      </c>
      <c r="G769" s="28" t="s">
        <v>92</v>
      </c>
      <c r="H769" s="28" t="s">
        <v>16</v>
      </c>
      <c r="I769" s="28" t="s">
        <v>16</v>
      </c>
      <c r="J769" s="28" t="s">
        <v>16</v>
      </c>
      <c r="K769" s="28" t="s">
        <v>76</v>
      </c>
      <c r="L769" s="29">
        <f t="shared" si="17"/>
        <v>360.36</v>
      </c>
    </row>
    <row r="770" spans="2:12" x14ac:dyDescent="0.25">
      <c r="B770" s="27">
        <v>45466</v>
      </c>
      <c r="C770" s="28" t="s">
        <v>39</v>
      </c>
      <c r="D770" s="28">
        <v>2024</v>
      </c>
      <c r="E770" s="28" t="s">
        <v>15</v>
      </c>
      <c r="F770" s="38">
        <v>10</v>
      </c>
      <c r="G770" s="28" t="s">
        <v>111</v>
      </c>
      <c r="H770" s="28" t="s">
        <v>16</v>
      </c>
      <c r="I770" s="28" t="s">
        <v>16</v>
      </c>
      <c r="J770" s="28" t="s">
        <v>16</v>
      </c>
      <c r="K770" s="28" t="s">
        <v>79</v>
      </c>
      <c r="L770" s="29">
        <f t="shared" si="17"/>
        <v>138.6</v>
      </c>
    </row>
    <row r="771" spans="2:12" x14ac:dyDescent="0.25">
      <c r="B771" s="27">
        <v>45466</v>
      </c>
      <c r="C771" s="28" t="s">
        <v>39</v>
      </c>
      <c r="D771" s="28">
        <v>2024</v>
      </c>
      <c r="E771" s="28" t="s">
        <v>15</v>
      </c>
      <c r="F771" s="38">
        <v>16</v>
      </c>
      <c r="G771" s="28" t="s">
        <v>85</v>
      </c>
      <c r="H771" s="28" t="s">
        <v>16</v>
      </c>
      <c r="I771" s="28" t="s">
        <v>16</v>
      </c>
      <c r="J771" s="28" t="s">
        <v>16</v>
      </c>
      <c r="K771" s="28" t="s">
        <v>81</v>
      </c>
      <c r="L771" s="29">
        <f t="shared" si="17"/>
        <v>221.76</v>
      </c>
    </row>
    <row r="772" spans="2:12" x14ac:dyDescent="0.25">
      <c r="B772" s="27">
        <v>45467</v>
      </c>
      <c r="C772" s="28" t="s">
        <v>39</v>
      </c>
      <c r="D772" s="28">
        <v>2024</v>
      </c>
      <c r="E772" s="28" t="s">
        <v>15</v>
      </c>
      <c r="F772" s="38">
        <v>26</v>
      </c>
      <c r="G772" s="28" t="s">
        <v>100</v>
      </c>
      <c r="H772" s="28" t="s">
        <v>16</v>
      </c>
      <c r="I772" s="28" t="s">
        <v>16</v>
      </c>
      <c r="J772" s="28" t="s">
        <v>16</v>
      </c>
      <c r="K772" s="28" t="s">
        <v>76</v>
      </c>
      <c r="L772" s="29">
        <f t="shared" si="17"/>
        <v>360.36</v>
      </c>
    </row>
    <row r="773" spans="2:12" x14ac:dyDescent="0.25">
      <c r="B773" s="27">
        <v>45467</v>
      </c>
      <c r="C773" s="28" t="s">
        <v>39</v>
      </c>
      <c r="D773" s="28">
        <v>2024</v>
      </c>
      <c r="E773" s="28" t="s">
        <v>15</v>
      </c>
      <c r="F773" s="38">
        <v>5</v>
      </c>
      <c r="G773" s="28" t="s">
        <v>111</v>
      </c>
      <c r="H773" s="28" t="s">
        <v>16</v>
      </c>
      <c r="I773" s="28" t="s">
        <v>16</v>
      </c>
      <c r="J773" s="28" t="s">
        <v>16</v>
      </c>
      <c r="K773" s="28" t="s">
        <v>76</v>
      </c>
      <c r="L773" s="29">
        <f t="shared" si="17"/>
        <v>69.3</v>
      </c>
    </row>
    <row r="774" spans="2:12" x14ac:dyDescent="0.25">
      <c r="B774" s="27">
        <v>45469</v>
      </c>
      <c r="C774" s="28" t="s">
        <v>39</v>
      </c>
      <c r="D774" s="28">
        <v>2024</v>
      </c>
      <c r="E774" s="28" t="s">
        <v>15</v>
      </c>
      <c r="F774" s="38">
        <v>26</v>
      </c>
      <c r="G774" s="28" t="s">
        <v>86</v>
      </c>
      <c r="H774" s="28" t="s">
        <v>16</v>
      </c>
      <c r="I774" s="28" t="s">
        <v>16</v>
      </c>
      <c r="J774" s="28" t="s">
        <v>16</v>
      </c>
      <c r="K774" s="28" t="s">
        <v>81</v>
      </c>
      <c r="L774" s="29">
        <f t="shared" si="17"/>
        <v>360.36</v>
      </c>
    </row>
    <row r="775" spans="2:12" x14ac:dyDescent="0.25">
      <c r="B775" s="27">
        <v>45471</v>
      </c>
      <c r="C775" s="28" t="s">
        <v>39</v>
      </c>
      <c r="D775" s="28">
        <v>2024</v>
      </c>
      <c r="E775" s="28" t="s">
        <v>14</v>
      </c>
      <c r="F775" s="38">
        <v>5</v>
      </c>
      <c r="G775" s="28" t="s">
        <v>111</v>
      </c>
      <c r="H775" s="28" t="s">
        <v>16</v>
      </c>
      <c r="I775" s="28" t="s">
        <v>16</v>
      </c>
      <c r="J775" s="28" t="s">
        <v>16</v>
      </c>
      <c r="K775" s="28" t="s">
        <v>75</v>
      </c>
      <c r="L775" s="29">
        <f t="shared" si="17"/>
        <v>69.3</v>
      </c>
    </row>
    <row r="776" spans="2:12" x14ac:dyDescent="0.25">
      <c r="B776" s="27">
        <v>45471</v>
      </c>
      <c r="C776" s="28" t="s">
        <v>39</v>
      </c>
      <c r="D776" s="28">
        <v>2024</v>
      </c>
      <c r="E776" s="28" t="s">
        <v>14</v>
      </c>
      <c r="F776" s="38">
        <v>7</v>
      </c>
      <c r="G776" s="28" t="s">
        <v>93</v>
      </c>
      <c r="H776" s="28" t="s">
        <v>16</v>
      </c>
      <c r="I776" s="28" t="s">
        <v>16</v>
      </c>
      <c r="J776" s="28" t="s">
        <v>16</v>
      </c>
      <c r="K776" s="28" t="s">
        <v>75</v>
      </c>
      <c r="L776" s="29">
        <f t="shared" ref="L776:L783" si="18">F776*13.86</f>
        <v>97.02</v>
      </c>
    </row>
    <row r="777" spans="2:12" x14ac:dyDescent="0.25">
      <c r="B777" s="27">
        <v>45472</v>
      </c>
      <c r="C777" s="28" t="s">
        <v>39</v>
      </c>
      <c r="D777" s="28">
        <v>2024</v>
      </c>
      <c r="E777" s="28" t="s">
        <v>15</v>
      </c>
      <c r="F777" s="38">
        <v>8</v>
      </c>
      <c r="G777" s="28" t="s">
        <v>99</v>
      </c>
      <c r="H777" s="28" t="s">
        <v>16</v>
      </c>
      <c r="I777" s="28" t="s">
        <v>16</v>
      </c>
      <c r="J777" s="28" t="s">
        <v>16</v>
      </c>
      <c r="K777" s="28" t="s">
        <v>79</v>
      </c>
      <c r="L777" s="29">
        <f t="shared" si="18"/>
        <v>110.88</v>
      </c>
    </row>
    <row r="778" spans="2:12" x14ac:dyDescent="0.25">
      <c r="B778" s="27">
        <v>45472</v>
      </c>
      <c r="C778" s="28" t="s">
        <v>39</v>
      </c>
      <c r="D778" s="28">
        <v>2024</v>
      </c>
      <c r="E778" s="28" t="s">
        <v>15</v>
      </c>
      <c r="F778" s="38">
        <v>24</v>
      </c>
      <c r="G778" s="28" t="s">
        <v>92</v>
      </c>
      <c r="H778" s="28" t="s">
        <v>16</v>
      </c>
      <c r="I778" s="28" t="s">
        <v>16</v>
      </c>
      <c r="J778" s="28" t="s">
        <v>16</v>
      </c>
      <c r="K778" s="28" t="s">
        <v>79</v>
      </c>
      <c r="L778" s="29">
        <f t="shared" si="18"/>
        <v>332.64</v>
      </c>
    </row>
    <row r="779" spans="2:12" x14ac:dyDescent="0.25">
      <c r="B779" s="27">
        <v>45472</v>
      </c>
      <c r="C779" s="28" t="s">
        <v>39</v>
      </c>
      <c r="D779" s="28">
        <v>2024</v>
      </c>
      <c r="E779" s="28" t="s">
        <v>15</v>
      </c>
      <c r="F779" s="38">
        <v>26</v>
      </c>
      <c r="G779" s="28" t="s">
        <v>90</v>
      </c>
      <c r="H779" s="28" t="s">
        <v>16</v>
      </c>
      <c r="I779" s="28" t="s">
        <v>16</v>
      </c>
      <c r="J779" s="28" t="s">
        <v>16</v>
      </c>
      <c r="K779" s="28" t="s">
        <v>81</v>
      </c>
      <c r="L779" s="29">
        <f t="shared" si="18"/>
        <v>360.36</v>
      </c>
    </row>
    <row r="780" spans="2:12" x14ac:dyDescent="0.25">
      <c r="B780" s="27">
        <v>45472</v>
      </c>
      <c r="C780" s="28" t="s">
        <v>39</v>
      </c>
      <c r="D780" s="28">
        <v>2024</v>
      </c>
      <c r="E780" s="28" t="s">
        <v>15</v>
      </c>
      <c r="F780" s="38">
        <v>26</v>
      </c>
      <c r="G780" s="28" t="s">
        <v>85</v>
      </c>
      <c r="H780" s="28" t="s">
        <v>16</v>
      </c>
      <c r="I780" s="28" t="s">
        <v>16</v>
      </c>
      <c r="J780" s="28" t="s">
        <v>16</v>
      </c>
      <c r="K780" s="28" t="s">
        <v>75</v>
      </c>
      <c r="L780" s="29">
        <f t="shared" si="18"/>
        <v>360.36</v>
      </c>
    </row>
    <row r="781" spans="2:12" x14ac:dyDescent="0.25">
      <c r="B781" s="27" t="s">
        <v>114</v>
      </c>
      <c r="C781" s="28" t="s">
        <v>39</v>
      </c>
      <c r="D781" s="28">
        <v>2024</v>
      </c>
      <c r="E781" s="28" t="s">
        <v>14</v>
      </c>
      <c r="F781" s="38">
        <v>5</v>
      </c>
      <c r="G781" s="28" t="s">
        <v>108</v>
      </c>
      <c r="H781" s="28" t="s">
        <v>16</v>
      </c>
      <c r="I781" s="28" t="s">
        <v>16</v>
      </c>
      <c r="J781" s="28" t="s">
        <v>16</v>
      </c>
      <c r="K781" s="28" t="s">
        <v>76</v>
      </c>
      <c r="L781" s="29">
        <f t="shared" si="18"/>
        <v>69.3</v>
      </c>
    </row>
    <row r="782" spans="2:12" x14ac:dyDescent="0.25">
      <c r="B782" s="27">
        <v>45476</v>
      </c>
      <c r="C782" s="28" t="s">
        <v>40</v>
      </c>
      <c r="D782" s="28">
        <v>2024</v>
      </c>
      <c r="E782" s="28" t="s">
        <v>15</v>
      </c>
      <c r="F782" s="38">
        <v>26</v>
      </c>
      <c r="G782" s="28" t="s">
        <v>90</v>
      </c>
      <c r="H782" s="28" t="s">
        <v>16</v>
      </c>
      <c r="I782" s="28" t="s">
        <v>16</v>
      </c>
      <c r="J782" s="28" t="s">
        <v>16</v>
      </c>
      <c r="K782" s="28" t="s">
        <v>76</v>
      </c>
      <c r="L782" s="29">
        <f t="shared" si="18"/>
        <v>360.36</v>
      </c>
    </row>
    <row r="783" spans="2:12" x14ac:dyDescent="0.25">
      <c r="B783" s="27">
        <v>45476</v>
      </c>
      <c r="C783" s="28" t="s">
        <v>40</v>
      </c>
      <c r="D783" s="28">
        <v>2024</v>
      </c>
      <c r="E783" s="28" t="s">
        <v>14</v>
      </c>
      <c r="F783" s="38">
        <v>12</v>
      </c>
      <c r="G783" s="28" t="s">
        <v>108</v>
      </c>
      <c r="H783" s="28" t="s">
        <v>16</v>
      </c>
      <c r="I783" s="28" t="s">
        <v>16</v>
      </c>
      <c r="J783" s="28" t="s">
        <v>16</v>
      </c>
      <c r="K783" s="28" t="s">
        <v>76</v>
      </c>
      <c r="L783" s="29">
        <f t="shared" si="18"/>
        <v>166.32</v>
      </c>
    </row>
    <row r="784" spans="2:12" x14ac:dyDescent="0.25">
      <c r="B784" s="27">
        <v>45419</v>
      </c>
      <c r="C784" s="28" t="s">
        <v>40</v>
      </c>
      <c r="D784" s="28">
        <v>2024</v>
      </c>
      <c r="E784" s="28" t="s">
        <v>14</v>
      </c>
      <c r="F784" s="38">
        <v>4</v>
      </c>
      <c r="G784" s="28" t="s">
        <v>101</v>
      </c>
      <c r="H784" s="28" t="s">
        <v>16</v>
      </c>
      <c r="I784" s="28" t="s">
        <v>16</v>
      </c>
      <c r="J784" s="28" t="s">
        <v>16</v>
      </c>
      <c r="K784" s="28" t="s">
        <v>76</v>
      </c>
      <c r="L784" s="29">
        <f t="shared" ref="L784:L817" si="19">F784*13.86</f>
        <v>55.44</v>
      </c>
    </row>
    <row r="785" spans="2:12" x14ac:dyDescent="0.25">
      <c r="B785" s="27">
        <v>45450</v>
      </c>
      <c r="C785" s="28" t="s">
        <v>40</v>
      </c>
      <c r="D785" s="28">
        <v>2024</v>
      </c>
      <c r="E785" s="28" t="s">
        <v>15</v>
      </c>
      <c r="F785" s="38">
        <v>26</v>
      </c>
      <c r="G785" s="28" t="s">
        <v>101</v>
      </c>
      <c r="H785" s="28" t="s">
        <v>16</v>
      </c>
      <c r="I785" s="28" t="s">
        <v>16</v>
      </c>
      <c r="J785" s="28" t="s">
        <v>16</v>
      </c>
      <c r="K785" s="28" t="s">
        <v>79</v>
      </c>
      <c r="L785" s="29">
        <f t="shared" si="19"/>
        <v>360.36</v>
      </c>
    </row>
    <row r="786" spans="2:12" x14ac:dyDescent="0.25">
      <c r="B786" s="27">
        <v>45450</v>
      </c>
      <c r="C786" s="28" t="s">
        <v>40</v>
      </c>
      <c r="D786" s="28">
        <v>2024</v>
      </c>
      <c r="E786" s="28" t="s">
        <v>15</v>
      </c>
      <c r="F786" s="38">
        <v>26</v>
      </c>
      <c r="G786" s="28" t="s">
        <v>90</v>
      </c>
      <c r="H786" s="28" t="s">
        <v>16</v>
      </c>
      <c r="I786" s="28" t="s">
        <v>16</v>
      </c>
      <c r="J786" s="28" t="s">
        <v>16</v>
      </c>
      <c r="K786" s="28" t="s">
        <v>76</v>
      </c>
      <c r="L786" s="29">
        <f t="shared" si="19"/>
        <v>360.36</v>
      </c>
    </row>
    <row r="787" spans="2:12" x14ac:dyDescent="0.25">
      <c r="B787" s="27">
        <v>45480</v>
      </c>
      <c r="C787" s="28" t="s">
        <v>40</v>
      </c>
      <c r="D787" s="28">
        <v>2024</v>
      </c>
      <c r="E787" s="28" t="s">
        <v>15</v>
      </c>
      <c r="F787" s="38">
        <v>26</v>
      </c>
      <c r="G787" s="28" t="s">
        <v>93</v>
      </c>
      <c r="H787" s="28" t="s">
        <v>16</v>
      </c>
      <c r="I787" s="28" t="s">
        <v>16</v>
      </c>
      <c r="J787" s="28" t="s">
        <v>16</v>
      </c>
      <c r="K787" s="28" t="s">
        <v>75</v>
      </c>
      <c r="L787" s="29">
        <f t="shared" si="19"/>
        <v>360.36</v>
      </c>
    </row>
    <row r="788" spans="2:12" x14ac:dyDescent="0.25">
      <c r="B788" s="27">
        <v>45480</v>
      </c>
      <c r="C788" s="28" t="s">
        <v>40</v>
      </c>
      <c r="D788" s="28">
        <v>2024</v>
      </c>
      <c r="E788" s="28" t="s">
        <v>15</v>
      </c>
      <c r="F788" s="38">
        <v>10</v>
      </c>
      <c r="G788" s="28" t="s">
        <v>111</v>
      </c>
      <c r="H788" s="28" t="s">
        <v>16</v>
      </c>
      <c r="I788" s="28" t="s">
        <v>16</v>
      </c>
      <c r="J788" s="28" t="s">
        <v>16</v>
      </c>
      <c r="K788" s="28" t="s">
        <v>79</v>
      </c>
      <c r="L788" s="29">
        <f t="shared" si="19"/>
        <v>138.6</v>
      </c>
    </row>
    <row r="789" spans="2:12" x14ac:dyDescent="0.25">
      <c r="B789" s="27">
        <v>45511</v>
      </c>
      <c r="C789" s="28" t="s">
        <v>40</v>
      </c>
      <c r="D789" s="28">
        <v>2024</v>
      </c>
      <c r="E789" s="28" t="s">
        <v>15</v>
      </c>
      <c r="F789" s="38">
        <v>26</v>
      </c>
      <c r="G789" s="28" t="s">
        <v>110</v>
      </c>
      <c r="H789" s="28" t="s">
        <v>16</v>
      </c>
      <c r="I789" s="28" t="s">
        <v>16</v>
      </c>
      <c r="J789" s="28" t="s">
        <v>16</v>
      </c>
      <c r="K789" s="28" t="s">
        <v>81</v>
      </c>
      <c r="L789" s="29">
        <f t="shared" si="19"/>
        <v>360.36</v>
      </c>
    </row>
    <row r="790" spans="2:12" x14ac:dyDescent="0.25">
      <c r="B790" s="27">
        <v>45572</v>
      </c>
      <c r="C790" s="28" t="s">
        <v>40</v>
      </c>
      <c r="D790" s="28">
        <v>2024</v>
      </c>
      <c r="E790" s="28" t="s">
        <v>15</v>
      </c>
      <c r="F790" s="38">
        <v>22</v>
      </c>
      <c r="G790" s="28" t="s">
        <v>111</v>
      </c>
      <c r="H790" s="28" t="s">
        <v>16</v>
      </c>
      <c r="I790" s="28" t="s">
        <v>16</v>
      </c>
      <c r="J790" s="28" t="s">
        <v>16</v>
      </c>
      <c r="K790" s="28" t="s">
        <v>81</v>
      </c>
      <c r="L790" s="29">
        <f t="shared" si="19"/>
        <v>304.91999999999996</v>
      </c>
    </row>
    <row r="791" spans="2:12" x14ac:dyDescent="0.25">
      <c r="B791" s="27">
        <v>45572</v>
      </c>
      <c r="C791" s="28" t="s">
        <v>40</v>
      </c>
      <c r="D791" s="28">
        <v>2024</v>
      </c>
      <c r="E791" s="28" t="s">
        <v>14</v>
      </c>
      <c r="F791" s="38">
        <v>10</v>
      </c>
      <c r="G791" s="28" t="s">
        <v>108</v>
      </c>
      <c r="H791" s="28" t="s">
        <v>16</v>
      </c>
      <c r="I791" s="28" t="s">
        <v>16</v>
      </c>
      <c r="J791" s="28" t="s">
        <v>16</v>
      </c>
      <c r="K791" s="28" t="s">
        <v>75</v>
      </c>
      <c r="L791" s="29">
        <f t="shared" si="19"/>
        <v>138.6</v>
      </c>
    </row>
    <row r="792" spans="2:12" x14ac:dyDescent="0.25">
      <c r="B792" s="27">
        <v>45633</v>
      </c>
      <c r="C792" s="28" t="s">
        <v>40</v>
      </c>
      <c r="D792" s="28">
        <v>2024</v>
      </c>
      <c r="E792" s="28" t="s">
        <v>15</v>
      </c>
      <c r="F792" s="38">
        <v>26</v>
      </c>
      <c r="G792" s="28" t="s">
        <v>101</v>
      </c>
      <c r="H792" s="28" t="s">
        <v>16</v>
      </c>
      <c r="I792" s="28" t="s">
        <v>16</v>
      </c>
      <c r="J792" s="28" t="s">
        <v>16</v>
      </c>
      <c r="K792" s="28" t="s">
        <v>75</v>
      </c>
      <c r="L792" s="29">
        <f t="shared" si="19"/>
        <v>360.36</v>
      </c>
    </row>
    <row r="793" spans="2:12" x14ac:dyDescent="0.25">
      <c r="B793" s="27">
        <v>45633</v>
      </c>
      <c r="C793" s="28" t="s">
        <v>40</v>
      </c>
      <c r="D793" s="28">
        <v>2024</v>
      </c>
      <c r="E793" s="28" t="s">
        <v>15</v>
      </c>
      <c r="F793" s="38">
        <v>26</v>
      </c>
      <c r="G793" s="28" t="s">
        <v>101</v>
      </c>
      <c r="H793" s="28" t="s">
        <v>16</v>
      </c>
      <c r="I793" s="28" t="s">
        <v>16</v>
      </c>
      <c r="J793" s="28" t="s">
        <v>16</v>
      </c>
      <c r="K793" s="28" t="s">
        <v>74</v>
      </c>
      <c r="L793" s="29">
        <f t="shared" si="19"/>
        <v>360.36</v>
      </c>
    </row>
    <row r="794" spans="2:12" x14ac:dyDescent="0.25">
      <c r="B794" s="27">
        <v>45633</v>
      </c>
      <c r="C794" s="28" t="s">
        <v>40</v>
      </c>
      <c r="D794" s="28">
        <v>2024</v>
      </c>
      <c r="E794" s="28" t="s">
        <v>14</v>
      </c>
      <c r="F794" s="38">
        <v>8</v>
      </c>
      <c r="G794" s="28" t="s">
        <v>93</v>
      </c>
      <c r="H794" s="28" t="s">
        <v>16</v>
      </c>
      <c r="I794" s="28" t="s">
        <v>16</v>
      </c>
      <c r="J794" s="28" t="s">
        <v>16</v>
      </c>
      <c r="K794" s="28" t="s">
        <v>76</v>
      </c>
      <c r="L794" s="29">
        <f t="shared" si="19"/>
        <v>110.88</v>
      </c>
    </row>
    <row r="795" spans="2:12" x14ac:dyDescent="0.25">
      <c r="B795" s="27">
        <v>45633</v>
      </c>
      <c r="C795" s="28" t="s">
        <v>40</v>
      </c>
      <c r="D795" s="28">
        <v>2024</v>
      </c>
      <c r="E795" s="28" t="s">
        <v>15</v>
      </c>
      <c r="F795" s="38">
        <v>26</v>
      </c>
      <c r="G795" s="28" t="s">
        <v>90</v>
      </c>
      <c r="H795" s="28" t="s">
        <v>16</v>
      </c>
      <c r="I795" s="28" t="s">
        <v>16</v>
      </c>
      <c r="J795" s="28" t="s">
        <v>16</v>
      </c>
      <c r="K795" s="28" t="s">
        <v>76</v>
      </c>
      <c r="L795" s="29">
        <f t="shared" si="19"/>
        <v>360.36</v>
      </c>
    </row>
    <row r="796" spans="2:12" x14ac:dyDescent="0.25">
      <c r="B796" s="27">
        <v>45633</v>
      </c>
      <c r="C796" s="28" t="s">
        <v>40</v>
      </c>
      <c r="D796" s="28">
        <v>2024</v>
      </c>
      <c r="E796" s="28" t="s">
        <v>15</v>
      </c>
      <c r="F796" s="38">
        <v>24</v>
      </c>
      <c r="G796" s="28" t="s">
        <v>92</v>
      </c>
      <c r="H796" s="28" t="s">
        <v>16</v>
      </c>
      <c r="I796" s="28" t="s">
        <v>16</v>
      </c>
      <c r="J796" s="28" t="s">
        <v>16</v>
      </c>
      <c r="K796" s="28" t="s">
        <v>76</v>
      </c>
      <c r="L796" s="29">
        <f t="shared" si="19"/>
        <v>332.64</v>
      </c>
    </row>
    <row r="797" spans="2:12" x14ac:dyDescent="0.25">
      <c r="B797" s="27">
        <v>45486</v>
      </c>
      <c r="C797" s="28" t="s">
        <v>40</v>
      </c>
      <c r="D797" s="28">
        <v>2024</v>
      </c>
      <c r="E797" s="28" t="s">
        <v>14</v>
      </c>
      <c r="F797" s="38">
        <v>3</v>
      </c>
      <c r="G797" s="28" t="s">
        <v>111</v>
      </c>
      <c r="H797" s="28" t="s">
        <v>16</v>
      </c>
      <c r="I797" s="28" t="s">
        <v>16</v>
      </c>
      <c r="J797" s="28" t="s">
        <v>16</v>
      </c>
      <c r="K797" s="28" t="s">
        <v>76</v>
      </c>
      <c r="L797" s="29">
        <f t="shared" si="19"/>
        <v>41.58</v>
      </c>
    </row>
    <row r="798" spans="2:12" x14ac:dyDescent="0.25">
      <c r="B798" s="27">
        <v>45487</v>
      </c>
      <c r="C798" s="28" t="s">
        <v>40</v>
      </c>
      <c r="D798" s="28">
        <v>2024</v>
      </c>
      <c r="E798" s="28" t="s">
        <v>15</v>
      </c>
      <c r="F798" s="38">
        <v>26</v>
      </c>
      <c r="G798" s="28" t="s">
        <v>101</v>
      </c>
      <c r="H798" s="28" t="s">
        <v>16</v>
      </c>
      <c r="I798" s="28" t="s">
        <v>16</v>
      </c>
      <c r="J798" s="28" t="s">
        <v>16</v>
      </c>
      <c r="K798" s="28" t="s">
        <v>75</v>
      </c>
      <c r="L798" s="29">
        <f t="shared" si="19"/>
        <v>360.36</v>
      </c>
    </row>
    <row r="799" spans="2:12" x14ac:dyDescent="0.25">
      <c r="B799" s="27">
        <v>45488</v>
      </c>
      <c r="C799" s="28" t="s">
        <v>40</v>
      </c>
      <c r="D799" s="28">
        <v>2024</v>
      </c>
      <c r="E799" s="28" t="s">
        <v>15</v>
      </c>
      <c r="F799" s="38">
        <v>26</v>
      </c>
      <c r="G799" s="28" t="s">
        <v>110</v>
      </c>
      <c r="H799" s="28" t="s">
        <v>16</v>
      </c>
      <c r="I799" s="28" t="s">
        <v>16</v>
      </c>
      <c r="J799" s="28" t="s">
        <v>16</v>
      </c>
      <c r="K799" s="28" t="s">
        <v>79</v>
      </c>
      <c r="L799" s="29">
        <f t="shared" si="19"/>
        <v>360.36</v>
      </c>
    </row>
    <row r="800" spans="2:12" x14ac:dyDescent="0.25">
      <c r="B800" s="27">
        <v>45492</v>
      </c>
      <c r="C800" s="28" t="s">
        <v>40</v>
      </c>
      <c r="D800" s="28">
        <v>2024</v>
      </c>
      <c r="E800" s="28" t="s">
        <v>15</v>
      </c>
      <c r="F800" s="38">
        <v>26</v>
      </c>
      <c r="G800" s="28" t="s">
        <v>110</v>
      </c>
      <c r="H800" s="28" t="s">
        <v>16</v>
      </c>
      <c r="I800" s="28" t="s">
        <v>16</v>
      </c>
      <c r="J800" s="28" t="s">
        <v>16</v>
      </c>
      <c r="K800" s="28" t="s">
        <v>81</v>
      </c>
      <c r="L800" s="29">
        <f t="shared" si="19"/>
        <v>360.36</v>
      </c>
    </row>
    <row r="801" spans="2:12" x14ac:dyDescent="0.25">
      <c r="B801" s="27">
        <v>45492</v>
      </c>
      <c r="C801" s="28" t="s">
        <v>40</v>
      </c>
      <c r="D801" s="28">
        <v>2024</v>
      </c>
      <c r="E801" s="28" t="s">
        <v>15</v>
      </c>
      <c r="F801" s="38">
        <v>26</v>
      </c>
      <c r="G801" s="28" t="s">
        <v>110</v>
      </c>
      <c r="H801" s="28" t="s">
        <v>16</v>
      </c>
      <c r="I801" s="28" t="s">
        <v>16</v>
      </c>
      <c r="J801" s="28" t="s">
        <v>16</v>
      </c>
      <c r="K801" s="28" t="s">
        <v>81</v>
      </c>
      <c r="L801" s="29">
        <f t="shared" si="19"/>
        <v>360.36</v>
      </c>
    </row>
    <row r="802" spans="2:12" x14ac:dyDescent="0.25">
      <c r="B802" s="27">
        <v>45494</v>
      </c>
      <c r="C802" s="28" t="s">
        <v>40</v>
      </c>
      <c r="D802" s="28">
        <v>2024</v>
      </c>
      <c r="E802" s="28" t="s">
        <v>15</v>
      </c>
      <c r="F802" s="38">
        <v>26</v>
      </c>
      <c r="G802" s="28" t="s">
        <v>103</v>
      </c>
      <c r="H802" s="28" t="s">
        <v>16</v>
      </c>
      <c r="I802" s="28" t="s">
        <v>16</v>
      </c>
      <c r="J802" s="28" t="s">
        <v>16</v>
      </c>
      <c r="K802" s="28" t="s">
        <v>75</v>
      </c>
      <c r="L802" s="29">
        <f t="shared" si="19"/>
        <v>360.36</v>
      </c>
    </row>
    <row r="803" spans="2:12" x14ac:dyDescent="0.25">
      <c r="B803" s="27">
        <v>45494</v>
      </c>
      <c r="C803" s="28" t="s">
        <v>40</v>
      </c>
      <c r="D803" s="28">
        <v>2024</v>
      </c>
      <c r="E803" s="28" t="s">
        <v>15</v>
      </c>
      <c r="F803" s="38">
        <v>26</v>
      </c>
      <c r="G803" s="28" t="s">
        <v>93</v>
      </c>
      <c r="H803" s="28" t="s">
        <v>16</v>
      </c>
      <c r="I803" s="28" t="s">
        <v>16</v>
      </c>
      <c r="J803" s="28" t="s">
        <v>16</v>
      </c>
      <c r="K803" s="28" t="s">
        <v>78</v>
      </c>
      <c r="L803" s="29">
        <f t="shared" si="19"/>
        <v>360.36</v>
      </c>
    </row>
    <row r="804" spans="2:12" x14ac:dyDescent="0.25">
      <c r="B804" s="27">
        <v>45496</v>
      </c>
      <c r="C804" s="28" t="s">
        <v>40</v>
      </c>
      <c r="D804" s="28">
        <v>2024</v>
      </c>
      <c r="E804" s="28" t="s">
        <v>15</v>
      </c>
      <c r="F804" s="38">
        <v>48</v>
      </c>
      <c r="G804" s="28" t="s">
        <v>108</v>
      </c>
      <c r="H804" s="28" t="s">
        <v>16</v>
      </c>
      <c r="I804" s="28" t="s">
        <v>16</v>
      </c>
      <c r="J804" s="28" t="s">
        <v>16</v>
      </c>
      <c r="K804" s="28" t="s">
        <v>75</v>
      </c>
      <c r="L804" s="29">
        <f t="shared" si="19"/>
        <v>665.28</v>
      </c>
    </row>
    <row r="805" spans="2:12" x14ac:dyDescent="0.25">
      <c r="B805" s="27">
        <v>45499</v>
      </c>
      <c r="C805" s="28" t="s">
        <v>40</v>
      </c>
      <c r="D805" s="28">
        <v>2024</v>
      </c>
      <c r="E805" s="28" t="s">
        <v>15</v>
      </c>
      <c r="F805" s="38">
        <v>7</v>
      </c>
      <c r="G805" s="28" t="s">
        <v>93</v>
      </c>
      <c r="H805" s="28" t="s">
        <v>16</v>
      </c>
      <c r="I805" s="28" t="s">
        <v>16</v>
      </c>
      <c r="J805" s="28" t="s">
        <v>16</v>
      </c>
      <c r="K805" s="28" t="s">
        <v>78</v>
      </c>
      <c r="L805" s="29">
        <f t="shared" si="19"/>
        <v>97.02</v>
      </c>
    </row>
    <row r="806" spans="2:12" x14ac:dyDescent="0.25">
      <c r="B806" s="27">
        <v>45499</v>
      </c>
      <c r="C806" s="28" t="s">
        <v>40</v>
      </c>
      <c r="D806" s="28">
        <v>2024</v>
      </c>
      <c r="E806" s="28" t="s">
        <v>15</v>
      </c>
      <c r="F806" s="38">
        <v>14</v>
      </c>
      <c r="G806" s="28" t="s">
        <v>85</v>
      </c>
      <c r="H806" s="28" t="s">
        <v>16</v>
      </c>
      <c r="I806" s="28" t="s">
        <v>16</v>
      </c>
      <c r="J806" s="28" t="s">
        <v>16</v>
      </c>
      <c r="K806" s="28" t="s">
        <v>79</v>
      </c>
      <c r="L806" s="29">
        <f t="shared" si="19"/>
        <v>194.04</v>
      </c>
    </row>
    <row r="807" spans="2:12" x14ac:dyDescent="0.25">
      <c r="B807" s="27">
        <v>45500</v>
      </c>
      <c r="C807" s="28" t="s">
        <v>40</v>
      </c>
      <c r="D807" s="28">
        <v>2024</v>
      </c>
      <c r="E807" s="28" t="s">
        <v>15</v>
      </c>
      <c r="F807" s="38">
        <v>9</v>
      </c>
      <c r="G807" s="28" t="s">
        <v>111</v>
      </c>
      <c r="H807" s="28" t="s">
        <v>16</v>
      </c>
      <c r="I807" s="28" t="s">
        <v>16</v>
      </c>
      <c r="J807" s="28" t="s">
        <v>16</v>
      </c>
      <c r="K807" s="28" t="s">
        <v>76</v>
      </c>
      <c r="L807" s="29">
        <f t="shared" si="19"/>
        <v>124.74</v>
      </c>
    </row>
    <row r="808" spans="2:12" x14ac:dyDescent="0.25">
      <c r="B808" s="27">
        <v>45500</v>
      </c>
      <c r="C808" s="28" t="s">
        <v>40</v>
      </c>
      <c r="D808" s="28">
        <v>2024</v>
      </c>
      <c r="E808" s="28" t="s">
        <v>15</v>
      </c>
      <c r="F808" s="38">
        <v>26</v>
      </c>
      <c r="G808" s="28" t="s">
        <v>101</v>
      </c>
      <c r="H808" s="28" t="s">
        <v>16</v>
      </c>
      <c r="I808" s="28" t="s">
        <v>16</v>
      </c>
      <c r="J808" s="28" t="s">
        <v>16</v>
      </c>
      <c r="K808" s="28" t="s">
        <v>79</v>
      </c>
      <c r="L808" s="29">
        <f t="shared" si="19"/>
        <v>360.36</v>
      </c>
    </row>
    <row r="809" spans="2:12" x14ac:dyDescent="0.25">
      <c r="B809" s="27">
        <v>45500</v>
      </c>
      <c r="C809" s="28" t="s">
        <v>40</v>
      </c>
      <c r="D809" s="28">
        <v>2024</v>
      </c>
      <c r="E809" s="28" t="s">
        <v>15</v>
      </c>
      <c r="F809" s="38">
        <v>26</v>
      </c>
      <c r="G809" s="28" t="s">
        <v>100</v>
      </c>
      <c r="H809" s="28" t="s">
        <v>16</v>
      </c>
      <c r="I809" s="28" t="s">
        <v>16</v>
      </c>
      <c r="J809" s="28" t="s">
        <v>16</v>
      </c>
      <c r="K809" s="28" t="s">
        <v>78</v>
      </c>
      <c r="L809" s="29">
        <f t="shared" si="19"/>
        <v>360.36</v>
      </c>
    </row>
    <row r="810" spans="2:12" x14ac:dyDescent="0.25">
      <c r="B810" s="27">
        <v>45500</v>
      </c>
      <c r="C810" s="28" t="s">
        <v>40</v>
      </c>
      <c r="D810" s="28">
        <v>2024</v>
      </c>
      <c r="E810" s="28" t="s">
        <v>15</v>
      </c>
      <c r="F810" s="38">
        <v>26</v>
      </c>
      <c r="G810" s="28" t="s">
        <v>101</v>
      </c>
      <c r="H810" s="28" t="s">
        <v>16</v>
      </c>
      <c r="I810" s="28" t="s">
        <v>16</v>
      </c>
      <c r="J810" s="28" t="s">
        <v>16</v>
      </c>
      <c r="K810" s="28" t="s">
        <v>78</v>
      </c>
      <c r="L810" s="29">
        <f t="shared" si="19"/>
        <v>360.36</v>
      </c>
    </row>
    <row r="811" spans="2:12" x14ac:dyDescent="0.25">
      <c r="B811" s="27">
        <v>45502</v>
      </c>
      <c r="C811" s="28" t="s">
        <v>40</v>
      </c>
      <c r="D811" s="28">
        <v>2024</v>
      </c>
      <c r="E811" s="28" t="s">
        <v>15</v>
      </c>
      <c r="F811" s="38">
        <v>26</v>
      </c>
      <c r="G811" s="28" t="s">
        <v>101</v>
      </c>
      <c r="H811" s="28" t="s">
        <v>16</v>
      </c>
      <c r="I811" s="28" t="s">
        <v>16</v>
      </c>
      <c r="J811" s="28" t="s">
        <v>16</v>
      </c>
      <c r="K811" s="28" t="s">
        <v>76</v>
      </c>
      <c r="L811" s="29">
        <f t="shared" si="19"/>
        <v>360.36</v>
      </c>
    </row>
    <row r="812" spans="2:12" x14ac:dyDescent="0.25">
      <c r="B812" s="27">
        <v>45504</v>
      </c>
      <c r="C812" s="28" t="s">
        <v>40</v>
      </c>
      <c r="D812" s="28">
        <v>2024</v>
      </c>
      <c r="E812" s="28" t="s">
        <v>15</v>
      </c>
      <c r="F812" s="38">
        <v>26</v>
      </c>
      <c r="G812" s="28" t="s">
        <v>101</v>
      </c>
      <c r="H812" s="28" t="s">
        <v>16</v>
      </c>
      <c r="I812" s="28" t="s">
        <v>16</v>
      </c>
      <c r="J812" s="28" t="s">
        <v>16</v>
      </c>
      <c r="K812" s="28" t="s">
        <v>76</v>
      </c>
      <c r="L812" s="29">
        <f t="shared" si="19"/>
        <v>360.36</v>
      </c>
    </row>
    <row r="813" spans="2:12" x14ac:dyDescent="0.25">
      <c r="B813" s="27">
        <v>45330</v>
      </c>
      <c r="C813" s="28" t="s">
        <v>41</v>
      </c>
      <c r="D813" s="28">
        <v>2024</v>
      </c>
      <c r="E813" s="28" t="s">
        <v>15</v>
      </c>
      <c r="F813" s="38">
        <v>8</v>
      </c>
      <c r="G813" s="28" t="s">
        <v>111</v>
      </c>
      <c r="H813" s="28" t="s">
        <v>16</v>
      </c>
      <c r="I813" s="28" t="s">
        <v>16</v>
      </c>
      <c r="J813" s="28" t="s">
        <v>16</v>
      </c>
      <c r="K813" s="28" t="s">
        <v>79</v>
      </c>
      <c r="L813" s="29">
        <f t="shared" si="19"/>
        <v>110.88</v>
      </c>
    </row>
    <row r="814" spans="2:12" x14ac:dyDescent="0.25">
      <c r="B814" s="27">
        <v>45330</v>
      </c>
      <c r="C814" s="28" t="s">
        <v>41</v>
      </c>
      <c r="D814" s="28">
        <v>2024</v>
      </c>
      <c r="E814" s="28" t="s">
        <v>15</v>
      </c>
      <c r="F814" s="38">
        <v>26</v>
      </c>
      <c r="G814" s="28" t="s">
        <v>111</v>
      </c>
      <c r="H814" s="28" t="s">
        <v>16</v>
      </c>
      <c r="I814" s="28" t="s">
        <v>16</v>
      </c>
      <c r="J814" s="28" t="s">
        <v>16</v>
      </c>
      <c r="K814" s="28" t="s">
        <v>78</v>
      </c>
      <c r="L814" s="29">
        <f t="shared" si="19"/>
        <v>360.36</v>
      </c>
    </row>
    <row r="815" spans="2:12" x14ac:dyDescent="0.25">
      <c r="B815" s="27">
        <v>45330</v>
      </c>
      <c r="C815" s="28" t="s">
        <v>41</v>
      </c>
      <c r="D815" s="28">
        <v>2024</v>
      </c>
      <c r="E815" s="28" t="s">
        <v>15</v>
      </c>
      <c r="F815" s="38">
        <v>26</v>
      </c>
      <c r="G815" s="28" t="s">
        <v>110</v>
      </c>
      <c r="H815" s="28" t="s">
        <v>16</v>
      </c>
      <c r="I815" s="28" t="s">
        <v>16</v>
      </c>
      <c r="J815" s="28" t="s">
        <v>16</v>
      </c>
      <c r="K815" s="28" t="s">
        <v>81</v>
      </c>
      <c r="L815" s="29">
        <f>F815*13.86</f>
        <v>360.36</v>
      </c>
    </row>
    <row r="816" spans="2:12" x14ac:dyDescent="0.25">
      <c r="B816" s="27">
        <v>45359</v>
      </c>
      <c r="C816" s="28" t="s">
        <v>41</v>
      </c>
      <c r="D816" s="28">
        <v>2024</v>
      </c>
      <c r="E816" s="28" t="s">
        <v>15</v>
      </c>
      <c r="F816" s="38">
        <v>26</v>
      </c>
      <c r="G816" s="28" t="s">
        <v>101</v>
      </c>
      <c r="H816" s="28" t="s">
        <v>16</v>
      </c>
      <c r="I816" s="28" t="s">
        <v>16</v>
      </c>
      <c r="J816" s="28" t="s">
        <v>16</v>
      </c>
      <c r="K816" s="28" t="s">
        <v>79</v>
      </c>
      <c r="L816" s="29">
        <f t="shared" si="19"/>
        <v>360.36</v>
      </c>
    </row>
    <row r="817" spans="2:12" x14ac:dyDescent="0.25">
      <c r="B817" s="27">
        <v>45359</v>
      </c>
      <c r="C817" s="28" t="s">
        <v>41</v>
      </c>
      <c r="D817" s="28">
        <v>2024</v>
      </c>
      <c r="E817" s="28" t="s">
        <v>14</v>
      </c>
      <c r="F817" s="38">
        <v>26</v>
      </c>
      <c r="G817" s="28" t="s">
        <v>101</v>
      </c>
      <c r="H817" s="28" t="s">
        <v>16</v>
      </c>
      <c r="I817" s="28" t="s">
        <v>16</v>
      </c>
      <c r="J817" s="28" t="s">
        <v>16</v>
      </c>
      <c r="K817" s="28" t="s">
        <v>79</v>
      </c>
      <c r="L817" s="29">
        <f t="shared" si="19"/>
        <v>360.36</v>
      </c>
    </row>
    <row r="818" spans="2:12" x14ac:dyDescent="0.25">
      <c r="B818" s="27">
        <v>45543</v>
      </c>
      <c r="C818" s="28" t="s">
        <v>41</v>
      </c>
      <c r="D818" s="28">
        <v>2024</v>
      </c>
      <c r="E818" s="28" t="s">
        <v>14</v>
      </c>
      <c r="F818" s="38">
        <v>26</v>
      </c>
      <c r="G818" s="28" t="s">
        <v>93</v>
      </c>
      <c r="H818" s="28" t="s">
        <v>16</v>
      </c>
      <c r="I818" s="28" t="s">
        <v>16</v>
      </c>
      <c r="J818" s="28" t="s">
        <v>16</v>
      </c>
      <c r="K818" s="28" t="s">
        <v>74</v>
      </c>
      <c r="L818" s="29">
        <f t="shared" ref="L818:L839" si="20">F818*13.86</f>
        <v>360.36</v>
      </c>
    </row>
    <row r="819" spans="2:12" x14ac:dyDescent="0.25">
      <c r="B819" s="27">
        <v>45573</v>
      </c>
      <c r="C819" s="28" t="s">
        <v>41</v>
      </c>
      <c r="D819" s="28">
        <v>2024</v>
      </c>
      <c r="E819" s="28" t="s">
        <v>15</v>
      </c>
      <c r="F819" s="38">
        <v>26</v>
      </c>
      <c r="G819" s="28" t="s">
        <v>108</v>
      </c>
      <c r="H819" s="28" t="s">
        <v>16</v>
      </c>
      <c r="I819" s="28" t="s">
        <v>16</v>
      </c>
      <c r="J819" s="28" t="s">
        <v>16</v>
      </c>
      <c r="K819" s="28" t="s">
        <v>78</v>
      </c>
      <c r="L819" s="29">
        <f t="shared" si="20"/>
        <v>360.36</v>
      </c>
    </row>
    <row r="820" spans="2:12" x14ac:dyDescent="0.25">
      <c r="B820" s="27">
        <v>45573</v>
      </c>
      <c r="C820" s="28" t="s">
        <v>41</v>
      </c>
      <c r="D820" s="28">
        <v>2024</v>
      </c>
      <c r="E820" s="28" t="s">
        <v>14</v>
      </c>
      <c r="F820" s="38">
        <v>26</v>
      </c>
      <c r="G820" s="28" t="s">
        <v>93</v>
      </c>
      <c r="H820" s="28" t="s">
        <v>16</v>
      </c>
      <c r="I820" s="28" t="s">
        <v>16</v>
      </c>
      <c r="J820" s="28" t="s">
        <v>16</v>
      </c>
      <c r="K820" s="28" t="s">
        <v>81</v>
      </c>
      <c r="L820" s="29">
        <f t="shared" si="20"/>
        <v>360.36</v>
      </c>
    </row>
    <row r="821" spans="2:12" x14ac:dyDescent="0.25">
      <c r="B821" s="27">
        <v>45604</v>
      </c>
      <c r="C821" s="28" t="s">
        <v>41</v>
      </c>
      <c r="D821" s="28">
        <v>2024</v>
      </c>
      <c r="E821" s="28" t="s">
        <v>15</v>
      </c>
      <c r="F821" s="38">
        <v>24</v>
      </c>
      <c r="G821" s="28" t="s">
        <v>103</v>
      </c>
      <c r="H821" s="28" t="s">
        <v>16</v>
      </c>
      <c r="I821" s="28" t="s">
        <v>16</v>
      </c>
      <c r="J821" s="28" t="s">
        <v>16</v>
      </c>
      <c r="K821" s="28" t="s">
        <v>76</v>
      </c>
      <c r="L821" s="29">
        <f t="shared" si="20"/>
        <v>332.64</v>
      </c>
    </row>
    <row r="822" spans="2:12" x14ac:dyDescent="0.25">
      <c r="B822" s="27">
        <v>45517</v>
      </c>
      <c r="C822" s="28" t="s">
        <v>41</v>
      </c>
      <c r="D822" s="28">
        <v>2024</v>
      </c>
      <c r="E822" s="28" t="s">
        <v>15</v>
      </c>
      <c r="F822" s="38">
        <v>26</v>
      </c>
      <c r="G822" s="28" t="s">
        <v>101</v>
      </c>
      <c r="H822" s="28" t="s">
        <v>16</v>
      </c>
      <c r="I822" s="28" t="s">
        <v>16</v>
      </c>
      <c r="J822" s="28" t="s">
        <v>16</v>
      </c>
      <c r="K822" s="28" t="s">
        <v>81</v>
      </c>
      <c r="L822" s="29">
        <f t="shared" si="20"/>
        <v>360.36</v>
      </c>
    </row>
    <row r="823" spans="2:12" x14ac:dyDescent="0.25">
      <c r="B823" s="27">
        <v>45518</v>
      </c>
      <c r="C823" s="28" t="s">
        <v>41</v>
      </c>
      <c r="D823" s="28">
        <v>2024</v>
      </c>
      <c r="E823" s="28" t="s">
        <v>15</v>
      </c>
      <c r="F823" s="38">
        <v>26</v>
      </c>
      <c r="G823" s="28" t="s">
        <v>101</v>
      </c>
      <c r="H823" s="28" t="s">
        <v>16</v>
      </c>
      <c r="I823" s="28" t="s">
        <v>16</v>
      </c>
      <c r="J823" s="28" t="s">
        <v>16</v>
      </c>
      <c r="K823" s="28" t="s">
        <v>81</v>
      </c>
      <c r="L823" s="29">
        <f>F823*13.86</f>
        <v>360.36</v>
      </c>
    </row>
    <row r="824" spans="2:12" x14ac:dyDescent="0.25">
      <c r="B824" s="27">
        <v>45518</v>
      </c>
      <c r="C824" s="28" t="s">
        <v>41</v>
      </c>
      <c r="D824" s="28">
        <v>2024</v>
      </c>
      <c r="E824" s="28" t="s">
        <v>15</v>
      </c>
      <c r="F824" s="38">
        <v>26</v>
      </c>
      <c r="G824" s="28" t="s">
        <v>101</v>
      </c>
      <c r="H824" s="28" t="s">
        <v>16</v>
      </c>
      <c r="I824" s="28" t="s">
        <v>16</v>
      </c>
      <c r="J824" s="28" t="s">
        <v>16</v>
      </c>
      <c r="K824" s="28" t="s">
        <v>81</v>
      </c>
      <c r="L824" s="29">
        <f t="shared" si="20"/>
        <v>360.36</v>
      </c>
    </row>
    <row r="825" spans="2:12" x14ac:dyDescent="0.25">
      <c r="B825" s="27">
        <v>45520</v>
      </c>
      <c r="C825" s="28" t="s">
        <v>41</v>
      </c>
      <c r="D825" s="28">
        <v>2024</v>
      </c>
      <c r="E825" s="28" t="s">
        <v>15</v>
      </c>
      <c r="F825" s="38">
        <v>4</v>
      </c>
      <c r="G825" s="28" t="s">
        <v>92</v>
      </c>
      <c r="H825" s="28" t="s">
        <v>16</v>
      </c>
      <c r="I825" s="28" t="s">
        <v>16</v>
      </c>
      <c r="J825" s="28" t="s">
        <v>16</v>
      </c>
      <c r="K825" s="28" t="s">
        <v>76</v>
      </c>
      <c r="L825" s="29">
        <f t="shared" si="20"/>
        <v>55.44</v>
      </c>
    </row>
    <row r="826" spans="2:12" x14ac:dyDescent="0.25">
      <c r="B826" s="27">
        <v>45521</v>
      </c>
      <c r="C826" s="28" t="s">
        <v>41</v>
      </c>
      <c r="D826" s="28">
        <v>2024</v>
      </c>
      <c r="E826" s="28" t="s">
        <v>15</v>
      </c>
      <c r="F826" s="38">
        <v>26</v>
      </c>
      <c r="G826" s="28" t="s">
        <v>101</v>
      </c>
      <c r="H826" s="28" t="s">
        <v>16</v>
      </c>
      <c r="I826" s="28" t="s">
        <v>16</v>
      </c>
      <c r="J826" s="28" t="s">
        <v>16</v>
      </c>
      <c r="K826" s="28" t="s">
        <v>81</v>
      </c>
      <c r="L826" s="29">
        <f t="shared" si="20"/>
        <v>360.36</v>
      </c>
    </row>
    <row r="827" spans="2:12" x14ac:dyDescent="0.25">
      <c r="B827" s="27">
        <v>45521</v>
      </c>
      <c r="C827" s="28" t="s">
        <v>41</v>
      </c>
      <c r="D827" s="28">
        <v>2024</v>
      </c>
      <c r="E827" s="28" t="s">
        <v>15</v>
      </c>
      <c r="F827" s="38">
        <v>24</v>
      </c>
      <c r="G827" s="28" t="s">
        <v>101</v>
      </c>
      <c r="H827" s="28" t="s">
        <v>16</v>
      </c>
      <c r="I827" s="28" t="s">
        <v>16</v>
      </c>
      <c r="J827" s="28" t="s">
        <v>16</v>
      </c>
      <c r="K827" s="28" t="s">
        <v>81</v>
      </c>
      <c r="L827" s="29">
        <f t="shared" si="20"/>
        <v>332.64</v>
      </c>
    </row>
    <row r="828" spans="2:12" x14ac:dyDescent="0.25">
      <c r="B828" s="27">
        <v>45521</v>
      </c>
      <c r="C828" s="28" t="s">
        <v>41</v>
      </c>
      <c r="D828" s="28">
        <v>2024</v>
      </c>
      <c r="E828" s="28" t="s">
        <v>15</v>
      </c>
      <c r="F828" s="38">
        <v>24</v>
      </c>
      <c r="G828" s="28" t="s">
        <v>91</v>
      </c>
      <c r="H828" s="28" t="s">
        <v>16</v>
      </c>
      <c r="I828" s="28" t="s">
        <v>16</v>
      </c>
      <c r="J828" s="28" t="s">
        <v>16</v>
      </c>
      <c r="K828" s="28" t="s">
        <v>81</v>
      </c>
      <c r="L828" s="29">
        <f t="shared" si="20"/>
        <v>332.64</v>
      </c>
    </row>
    <row r="829" spans="2:12" x14ac:dyDescent="0.25">
      <c r="B829" s="27">
        <v>45522</v>
      </c>
      <c r="C829" s="28" t="s">
        <v>41</v>
      </c>
      <c r="D829" s="28">
        <v>2024</v>
      </c>
      <c r="E829" s="28" t="s">
        <v>15</v>
      </c>
      <c r="F829" s="38">
        <v>4</v>
      </c>
      <c r="G829" s="28" t="s">
        <v>92</v>
      </c>
      <c r="H829" s="28" t="s">
        <v>16</v>
      </c>
      <c r="I829" s="28" t="s">
        <v>16</v>
      </c>
      <c r="J829" s="28" t="s">
        <v>16</v>
      </c>
      <c r="K829" s="28" t="s">
        <v>76</v>
      </c>
      <c r="L829" s="29">
        <f t="shared" si="20"/>
        <v>55.44</v>
      </c>
    </row>
    <row r="830" spans="2:12" x14ac:dyDescent="0.25">
      <c r="B830" s="27">
        <v>45522</v>
      </c>
      <c r="C830" s="28" t="s">
        <v>41</v>
      </c>
      <c r="D830" s="28">
        <v>2024</v>
      </c>
      <c r="E830" s="28" t="s">
        <v>15</v>
      </c>
      <c r="F830" s="38">
        <v>26</v>
      </c>
      <c r="G830" s="28" t="s">
        <v>102</v>
      </c>
      <c r="H830" s="28" t="s">
        <v>16</v>
      </c>
      <c r="I830" s="28" t="s">
        <v>16</v>
      </c>
      <c r="J830" s="28" t="s">
        <v>16</v>
      </c>
      <c r="K830" s="28" t="s">
        <v>81</v>
      </c>
      <c r="L830" s="29">
        <f t="shared" si="20"/>
        <v>360.36</v>
      </c>
    </row>
    <row r="831" spans="2:12" x14ac:dyDescent="0.25">
      <c r="B831" s="27">
        <v>45527</v>
      </c>
      <c r="C831" s="28" t="s">
        <v>41</v>
      </c>
      <c r="D831" s="28">
        <v>2024</v>
      </c>
      <c r="E831" s="28" t="s">
        <v>15</v>
      </c>
      <c r="F831" s="38">
        <v>5</v>
      </c>
      <c r="G831" s="28" t="s">
        <v>111</v>
      </c>
      <c r="H831" s="28" t="s">
        <v>16</v>
      </c>
      <c r="I831" s="28" t="s">
        <v>16</v>
      </c>
      <c r="J831" s="28" t="s">
        <v>16</v>
      </c>
      <c r="K831" s="28" t="s">
        <v>79</v>
      </c>
      <c r="L831" s="29">
        <f t="shared" si="20"/>
        <v>69.3</v>
      </c>
    </row>
    <row r="832" spans="2:12" x14ac:dyDescent="0.25">
      <c r="B832" s="27">
        <v>45527</v>
      </c>
      <c r="C832" s="28" t="s">
        <v>41</v>
      </c>
      <c r="D832" s="28">
        <v>2024</v>
      </c>
      <c r="E832" s="28" t="s">
        <v>15</v>
      </c>
      <c r="F832" s="38">
        <v>26</v>
      </c>
      <c r="G832" s="28" t="s">
        <v>92</v>
      </c>
      <c r="H832" s="28" t="s">
        <v>16</v>
      </c>
      <c r="I832" s="28" t="s">
        <v>16</v>
      </c>
      <c r="J832" s="28" t="s">
        <v>16</v>
      </c>
      <c r="K832" s="28" t="s">
        <v>79</v>
      </c>
      <c r="L832" s="29">
        <f t="shared" si="20"/>
        <v>360.36</v>
      </c>
    </row>
    <row r="833" spans="2:12" x14ac:dyDescent="0.25">
      <c r="B833" s="27">
        <v>45527</v>
      </c>
      <c r="C833" s="28" t="s">
        <v>41</v>
      </c>
      <c r="D833" s="28">
        <v>2024</v>
      </c>
      <c r="E833" s="28" t="s">
        <v>14</v>
      </c>
      <c r="F833" s="38">
        <v>17</v>
      </c>
      <c r="G833" s="28" t="s">
        <v>108</v>
      </c>
      <c r="H833" s="28" t="s">
        <v>16</v>
      </c>
      <c r="I833" s="28" t="s">
        <v>16</v>
      </c>
      <c r="J833" s="28" t="s">
        <v>16</v>
      </c>
      <c r="K833" s="28" t="s">
        <v>79</v>
      </c>
      <c r="L833" s="29">
        <f t="shared" si="20"/>
        <v>235.62</v>
      </c>
    </row>
    <row r="834" spans="2:12" x14ac:dyDescent="0.25">
      <c r="B834" s="27">
        <v>45528</v>
      </c>
      <c r="C834" s="28" t="s">
        <v>41</v>
      </c>
      <c r="D834" s="28">
        <v>2024</v>
      </c>
      <c r="E834" s="28" t="s">
        <v>14</v>
      </c>
      <c r="F834" s="38">
        <v>26</v>
      </c>
      <c r="G834" s="28" t="s">
        <v>110</v>
      </c>
      <c r="H834" s="28" t="s">
        <v>16</v>
      </c>
      <c r="I834" s="28" t="s">
        <v>16</v>
      </c>
      <c r="J834" s="28" t="s">
        <v>16</v>
      </c>
      <c r="K834" s="28" t="s">
        <v>79</v>
      </c>
      <c r="L834" s="29">
        <f t="shared" si="20"/>
        <v>360.36</v>
      </c>
    </row>
    <row r="835" spans="2:12" x14ac:dyDescent="0.25">
      <c r="B835" s="27">
        <v>45528</v>
      </c>
      <c r="C835" s="28" t="s">
        <v>41</v>
      </c>
      <c r="D835" s="28">
        <v>2024</v>
      </c>
      <c r="E835" s="28" t="s">
        <v>14</v>
      </c>
      <c r="F835" s="38">
        <v>26</v>
      </c>
      <c r="G835" s="28" t="s">
        <v>101</v>
      </c>
      <c r="H835" s="28" t="s">
        <v>16</v>
      </c>
      <c r="I835" s="28" t="s">
        <v>16</v>
      </c>
      <c r="J835" s="28" t="s">
        <v>16</v>
      </c>
      <c r="K835" s="28" t="s">
        <v>79</v>
      </c>
      <c r="L835" s="29">
        <f t="shared" si="20"/>
        <v>360.36</v>
      </c>
    </row>
    <row r="836" spans="2:12" x14ac:dyDescent="0.25">
      <c r="B836" s="27">
        <v>45518</v>
      </c>
      <c r="C836" s="28" t="s">
        <v>41</v>
      </c>
      <c r="D836" s="28">
        <v>2024</v>
      </c>
      <c r="E836" s="28" t="s">
        <v>15</v>
      </c>
      <c r="F836" s="38">
        <v>5</v>
      </c>
      <c r="G836" s="28" t="s">
        <v>101</v>
      </c>
      <c r="H836" s="28" t="s">
        <v>16</v>
      </c>
      <c r="I836" s="28" t="s">
        <v>16</v>
      </c>
      <c r="J836" s="28" t="s">
        <v>16</v>
      </c>
      <c r="K836" s="28" t="s">
        <v>81</v>
      </c>
      <c r="L836" s="29">
        <f t="shared" si="20"/>
        <v>69.3</v>
      </c>
    </row>
    <row r="837" spans="2:12" x14ac:dyDescent="0.25">
      <c r="B837" s="27">
        <v>45529</v>
      </c>
      <c r="C837" s="28" t="s">
        <v>41</v>
      </c>
      <c r="D837" s="28">
        <v>2024</v>
      </c>
      <c r="E837" s="28" t="s">
        <v>15</v>
      </c>
      <c r="F837" s="38">
        <v>24</v>
      </c>
      <c r="G837" s="28" t="s">
        <v>101</v>
      </c>
      <c r="H837" s="28" t="s">
        <v>16</v>
      </c>
      <c r="I837" s="28" t="s">
        <v>16</v>
      </c>
      <c r="J837" s="28" t="s">
        <v>16</v>
      </c>
      <c r="K837" s="28" t="s">
        <v>76</v>
      </c>
      <c r="L837" s="29">
        <f t="shared" si="20"/>
        <v>332.64</v>
      </c>
    </row>
    <row r="838" spans="2:12" x14ac:dyDescent="0.25">
      <c r="B838" s="27">
        <v>45529</v>
      </c>
      <c r="C838" s="28" t="s">
        <v>41</v>
      </c>
      <c r="D838" s="28">
        <v>2024</v>
      </c>
      <c r="E838" s="28" t="s">
        <v>15</v>
      </c>
      <c r="F838" s="38">
        <v>26</v>
      </c>
      <c r="G838" s="28" t="s">
        <v>103</v>
      </c>
      <c r="H838" s="28" t="s">
        <v>16</v>
      </c>
      <c r="I838" s="28" t="s">
        <v>16</v>
      </c>
      <c r="J838" s="28" t="s">
        <v>16</v>
      </c>
      <c r="K838" s="28" t="s">
        <v>81</v>
      </c>
      <c r="L838" s="29">
        <f t="shared" si="20"/>
        <v>360.36</v>
      </c>
    </row>
    <row r="839" spans="2:12" x14ac:dyDescent="0.25">
      <c r="B839" s="27">
        <v>45529</v>
      </c>
      <c r="C839" s="28" t="s">
        <v>41</v>
      </c>
      <c r="D839" s="28">
        <v>2024</v>
      </c>
      <c r="E839" s="28" t="s">
        <v>15</v>
      </c>
      <c r="F839" s="38">
        <v>28</v>
      </c>
      <c r="G839" s="28" t="s">
        <v>110</v>
      </c>
      <c r="H839" s="28" t="s">
        <v>16</v>
      </c>
      <c r="I839" s="28" t="s">
        <v>16</v>
      </c>
      <c r="J839" s="28" t="s">
        <v>16</v>
      </c>
      <c r="K839" s="28" t="s">
        <v>76</v>
      </c>
      <c r="L839" s="29">
        <f t="shared" si="20"/>
        <v>388.08</v>
      </c>
    </row>
    <row r="840" spans="2:12" x14ac:dyDescent="0.25">
      <c r="B840" s="27">
        <v>45300</v>
      </c>
      <c r="C840" s="28" t="s">
        <v>42</v>
      </c>
      <c r="D840" s="28">
        <v>2024</v>
      </c>
      <c r="E840" s="28" t="s">
        <v>15</v>
      </c>
      <c r="F840" s="38">
        <v>26</v>
      </c>
      <c r="G840" s="28" t="s">
        <v>103</v>
      </c>
      <c r="H840" s="28" t="s">
        <v>16</v>
      </c>
      <c r="I840" s="28" t="s">
        <v>16</v>
      </c>
      <c r="J840" s="28" t="s">
        <v>16</v>
      </c>
      <c r="K840" s="28" t="s">
        <v>79</v>
      </c>
      <c r="L840" s="29">
        <f t="shared" ref="L840:L878" si="21">F840*13.86</f>
        <v>360.36</v>
      </c>
    </row>
    <row r="841" spans="2:12" x14ac:dyDescent="0.25">
      <c r="B841" s="27">
        <v>45300</v>
      </c>
      <c r="C841" s="28" t="s">
        <v>42</v>
      </c>
      <c r="D841" s="28">
        <v>2024</v>
      </c>
      <c r="E841" s="28" t="s">
        <v>15</v>
      </c>
      <c r="F841" s="38">
        <v>26</v>
      </c>
      <c r="G841" s="28" t="s">
        <v>110</v>
      </c>
      <c r="H841" s="28" t="s">
        <v>16</v>
      </c>
      <c r="I841" s="28" t="s">
        <v>16</v>
      </c>
      <c r="J841" s="28" t="s">
        <v>16</v>
      </c>
      <c r="K841" s="28" t="s">
        <v>81</v>
      </c>
      <c r="L841" s="29">
        <f t="shared" si="21"/>
        <v>360.36</v>
      </c>
    </row>
    <row r="842" spans="2:12" x14ac:dyDescent="0.25">
      <c r="B842" s="27">
        <v>45300</v>
      </c>
      <c r="C842" s="28" t="s">
        <v>42</v>
      </c>
      <c r="D842" s="28">
        <v>2024</v>
      </c>
      <c r="E842" s="28" t="s">
        <v>14</v>
      </c>
      <c r="F842" s="38">
        <v>17</v>
      </c>
      <c r="G842" s="28" t="s">
        <v>99</v>
      </c>
      <c r="H842" s="28" t="s">
        <v>16</v>
      </c>
      <c r="I842" s="28" t="s">
        <v>16</v>
      </c>
      <c r="J842" s="28" t="s">
        <v>16</v>
      </c>
      <c r="K842" s="28" t="s">
        <v>81</v>
      </c>
      <c r="L842" s="29">
        <f t="shared" si="21"/>
        <v>235.62</v>
      </c>
    </row>
    <row r="843" spans="2:12" x14ac:dyDescent="0.25">
      <c r="B843" s="27">
        <v>45536</v>
      </c>
      <c r="C843" s="28" t="s">
        <v>42</v>
      </c>
      <c r="D843" s="28">
        <v>2024</v>
      </c>
      <c r="E843" s="28" t="s">
        <v>15</v>
      </c>
      <c r="F843" s="38">
        <v>26</v>
      </c>
      <c r="G843" s="28" t="s">
        <v>93</v>
      </c>
      <c r="H843" s="28" t="s">
        <v>16</v>
      </c>
      <c r="I843" s="28" t="s">
        <v>16</v>
      </c>
      <c r="J843" s="28" t="s">
        <v>16</v>
      </c>
      <c r="K843" s="28" t="s">
        <v>81</v>
      </c>
      <c r="L843" s="29">
        <f t="shared" si="21"/>
        <v>360.36</v>
      </c>
    </row>
    <row r="844" spans="2:12" x14ac:dyDescent="0.25">
      <c r="B844" s="27">
        <v>45331</v>
      </c>
      <c r="C844" s="28" t="s">
        <v>42</v>
      </c>
      <c r="D844" s="28">
        <v>2024</v>
      </c>
      <c r="E844" s="28" t="s">
        <v>14</v>
      </c>
      <c r="F844" s="38">
        <v>26</v>
      </c>
      <c r="G844" s="28" t="s">
        <v>93</v>
      </c>
      <c r="H844" s="28" t="s">
        <v>16</v>
      </c>
      <c r="I844" s="28" t="s">
        <v>16</v>
      </c>
      <c r="J844" s="28" t="s">
        <v>16</v>
      </c>
      <c r="K844" s="28" t="s">
        <v>81</v>
      </c>
      <c r="L844" s="29">
        <f t="shared" si="21"/>
        <v>360.36</v>
      </c>
    </row>
    <row r="845" spans="2:12" x14ac:dyDescent="0.25">
      <c r="B845" s="27">
        <v>45360</v>
      </c>
      <c r="C845" s="28" t="s">
        <v>42</v>
      </c>
      <c r="D845" s="28">
        <v>2024</v>
      </c>
      <c r="E845" s="28" t="s">
        <v>14</v>
      </c>
      <c r="F845" s="38">
        <v>26</v>
      </c>
      <c r="G845" s="28" t="s">
        <v>107</v>
      </c>
      <c r="H845" s="28" t="s">
        <v>16</v>
      </c>
      <c r="I845" s="28" t="s">
        <v>16</v>
      </c>
      <c r="J845" s="28" t="s">
        <v>16</v>
      </c>
      <c r="K845" s="28" t="s">
        <v>76</v>
      </c>
      <c r="L845" s="29">
        <f t="shared" si="21"/>
        <v>360.36</v>
      </c>
    </row>
    <row r="846" spans="2:12" x14ac:dyDescent="0.25">
      <c r="B846" s="27">
        <v>45452</v>
      </c>
      <c r="C846" s="28" t="s">
        <v>42</v>
      </c>
      <c r="D846" s="28">
        <v>2024</v>
      </c>
      <c r="E846" s="28" t="s">
        <v>14</v>
      </c>
      <c r="F846" s="38">
        <v>10</v>
      </c>
      <c r="G846" s="28" t="s">
        <v>108</v>
      </c>
      <c r="H846" s="28" t="s">
        <v>16</v>
      </c>
      <c r="I846" s="28" t="s">
        <v>16</v>
      </c>
      <c r="J846" s="28" t="s">
        <v>16</v>
      </c>
      <c r="K846" s="28" t="s">
        <v>79</v>
      </c>
      <c r="L846" s="29">
        <f t="shared" si="21"/>
        <v>138.6</v>
      </c>
    </row>
    <row r="847" spans="2:12" x14ac:dyDescent="0.25">
      <c r="B847" s="27">
        <v>45513</v>
      </c>
      <c r="C847" s="28" t="s">
        <v>42</v>
      </c>
      <c r="D847" s="28">
        <v>2024</v>
      </c>
      <c r="E847" s="28" t="s">
        <v>14</v>
      </c>
      <c r="F847" s="38">
        <v>3</v>
      </c>
      <c r="G847" s="28" t="s">
        <v>111</v>
      </c>
      <c r="H847" s="28" t="s">
        <v>16</v>
      </c>
      <c r="I847" s="28" t="s">
        <v>16</v>
      </c>
      <c r="J847" s="28" t="s">
        <v>16</v>
      </c>
      <c r="K847" s="28" t="s">
        <v>76</v>
      </c>
      <c r="L847" s="29">
        <f t="shared" si="21"/>
        <v>41.58</v>
      </c>
    </row>
    <row r="848" spans="2:12" x14ac:dyDescent="0.25">
      <c r="B848" s="27">
        <v>45513</v>
      </c>
      <c r="C848" s="28" t="s">
        <v>42</v>
      </c>
      <c r="D848" s="28">
        <v>2024</v>
      </c>
      <c r="E848" s="28" t="s">
        <v>15</v>
      </c>
      <c r="F848" s="38">
        <v>26</v>
      </c>
      <c r="G848" s="28" t="s">
        <v>111</v>
      </c>
      <c r="H848" s="28" t="s">
        <v>16</v>
      </c>
      <c r="I848" s="28" t="s">
        <v>16</v>
      </c>
      <c r="J848" s="28" t="s">
        <v>16</v>
      </c>
      <c r="K848" s="28" t="s">
        <v>75</v>
      </c>
      <c r="L848" s="29">
        <f t="shared" si="21"/>
        <v>360.36</v>
      </c>
    </row>
    <row r="849" spans="2:12" x14ac:dyDescent="0.25">
      <c r="B849" s="27">
        <v>45605</v>
      </c>
      <c r="C849" s="28" t="s">
        <v>42</v>
      </c>
      <c r="D849" s="28">
        <v>2024</v>
      </c>
      <c r="E849" s="28" t="s">
        <v>15</v>
      </c>
      <c r="F849" s="38">
        <v>26</v>
      </c>
      <c r="G849" s="28" t="s">
        <v>110</v>
      </c>
      <c r="H849" s="28" t="s">
        <v>16</v>
      </c>
      <c r="I849" s="28" t="s">
        <v>16</v>
      </c>
      <c r="J849" s="28" t="s">
        <v>16</v>
      </c>
      <c r="K849" s="28" t="s">
        <v>75</v>
      </c>
      <c r="L849" s="29">
        <f t="shared" si="21"/>
        <v>360.36</v>
      </c>
    </row>
    <row r="850" spans="2:12" x14ac:dyDescent="0.25">
      <c r="B850" s="27">
        <v>45548</v>
      </c>
      <c r="C850" s="28" t="s">
        <v>42</v>
      </c>
      <c r="D850" s="28">
        <v>2024</v>
      </c>
      <c r="E850" s="28" t="s">
        <v>15</v>
      </c>
      <c r="F850" s="38">
        <v>3</v>
      </c>
      <c r="G850" s="28" t="s">
        <v>111</v>
      </c>
      <c r="H850" s="28" t="s">
        <v>16</v>
      </c>
      <c r="I850" s="28" t="s">
        <v>16</v>
      </c>
      <c r="J850" s="28" t="s">
        <v>16</v>
      </c>
      <c r="K850" s="28" t="s">
        <v>75</v>
      </c>
      <c r="L850" s="29">
        <f t="shared" si="21"/>
        <v>41.58</v>
      </c>
    </row>
    <row r="851" spans="2:12" x14ac:dyDescent="0.25">
      <c r="B851" s="27" t="s">
        <v>115</v>
      </c>
      <c r="C851" s="28" t="s">
        <v>42</v>
      </c>
      <c r="D851" s="28">
        <v>2024</v>
      </c>
      <c r="E851" s="28" t="s">
        <v>14</v>
      </c>
      <c r="F851" s="38">
        <v>18</v>
      </c>
      <c r="G851" s="28" t="s">
        <v>111</v>
      </c>
      <c r="H851" s="28" t="s">
        <v>16</v>
      </c>
      <c r="I851" s="28" t="s">
        <v>16</v>
      </c>
      <c r="J851" s="28" t="s">
        <v>16</v>
      </c>
      <c r="K851" s="28" t="s">
        <v>75</v>
      </c>
      <c r="L851" s="29">
        <f t="shared" si="21"/>
        <v>249.48</v>
      </c>
    </row>
    <row r="852" spans="2:12" x14ac:dyDescent="0.25">
      <c r="B852" s="27">
        <v>45548</v>
      </c>
      <c r="C852" s="28" t="s">
        <v>42</v>
      </c>
      <c r="D852" s="28">
        <v>2024</v>
      </c>
      <c r="E852" s="28" t="s">
        <v>15</v>
      </c>
      <c r="F852" s="38">
        <v>10</v>
      </c>
      <c r="G852" s="28" t="s">
        <v>108</v>
      </c>
      <c r="H852" s="28" t="s">
        <v>16</v>
      </c>
      <c r="I852" s="28" t="s">
        <v>16</v>
      </c>
      <c r="J852" s="28" t="s">
        <v>16</v>
      </c>
      <c r="K852" s="28" t="s">
        <v>74</v>
      </c>
      <c r="L852" s="29">
        <f t="shared" si="21"/>
        <v>138.6</v>
      </c>
    </row>
    <row r="853" spans="2:12" x14ac:dyDescent="0.25">
      <c r="B853" s="27">
        <v>45548</v>
      </c>
      <c r="C853" s="28" t="s">
        <v>42</v>
      </c>
      <c r="D853" s="28">
        <v>2024</v>
      </c>
      <c r="E853" s="28" t="s">
        <v>15</v>
      </c>
      <c r="F853" s="38">
        <v>26</v>
      </c>
      <c r="G853" s="28" t="s">
        <v>103</v>
      </c>
      <c r="H853" s="28" t="s">
        <v>16</v>
      </c>
      <c r="I853" s="28" t="s">
        <v>16</v>
      </c>
      <c r="J853" s="28" t="s">
        <v>16</v>
      </c>
      <c r="K853" s="28" t="s">
        <v>74</v>
      </c>
      <c r="L853" s="29">
        <f t="shared" si="21"/>
        <v>360.36</v>
      </c>
    </row>
    <row r="854" spans="2:12" x14ac:dyDescent="0.25">
      <c r="B854" s="27">
        <v>45548</v>
      </c>
      <c r="C854" s="28" t="s">
        <v>42</v>
      </c>
      <c r="D854" s="28">
        <v>2024</v>
      </c>
      <c r="E854" s="28" t="s">
        <v>15</v>
      </c>
      <c r="F854" s="38">
        <v>26</v>
      </c>
      <c r="G854" s="28" t="s">
        <v>103</v>
      </c>
      <c r="H854" s="28" t="s">
        <v>16</v>
      </c>
      <c r="I854" s="28" t="s">
        <v>16</v>
      </c>
      <c r="J854" s="28" t="s">
        <v>16</v>
      </c>
      <c r="K854" s="28" t="s">
        <v>76</v>
      </c>
      <c r="L854" s="29">
        <f t="shared" si="21"/>
        <v>360.36</v>
      </c>
    </row>
    <row r="855" spans="2:12" x14ac:dyDescent="0.25">
      <c r="B855" s="27">
        <v>45548</v>
      </c>
      <c r="C855" s="28" t="s">
        <v>42</v>
      </c>
      <c r="D855" s="28">
        <v>2024</v>
      </c>
      <c r="E855" s="28" t="s">
        <v>15</v>
      </c>
      <c r="F855" s="38">
        <v>26</v>
      </c>
      <c r="G855" s="28" t="s">
        <v>103</v>
      </c>
      <c r="H855" s="28" t="s">
        <v>16</v>
      </c>
      <c r="I855" s="28" t="s">
        <v>16</v>
      </c>
      <c r="J855" s="28" t="s">
        <v>16</v>
      </c>
      <c r="K855" s="28" t="s">
        <v>76</v>
      </c>
      <c r="L855" s="29">
        <f t="shared" si="21"/>
        <v>360.36</v>
      </c>
    </row>
    <row r="856" spans="2:12" x14ac:dyDescent="0.25">
      <c r="B856" s="27">
        <v>45548</v>
      </c>
      <c r="C856" s="28" t="s">
        <v>42</v>
      </c>
      <c r="D856" s="28">
        <v>2024</v>
      </c>
      <c r="E856" s="28" t="s">
        <v>15</v>
      </c>
      <c r="F856" s="38">
        <v>26</v>
      </c>
      <c r="G856" s="28" t="s">
        <v>103</v>
      </c>
      <c r="H856" s="28" t="s">
        <v>16</v>
      </c>
      <c r="I856" s="28" t="s">
        <v>16</v>
      </c>
      <c r="J856" s="28" t="s">
        <v>16</v>
      </c>
      <c r="K856" s="28" t="s">
        <v>76</v>
      </c>
      <c r="L856" s="29">
        <f t="shared" si="21"/>
        <v>360.36</v>
      </c>
    </row>
    <row r="857" spans="2:12" x14ac:dyDescent="0.25">
      <c r="B857" s="27">
        <v>45549</v>
      </c>
      <c r="C857" s="28" t="s">
        <v>42</v>
      </c>
      <c r="D857" s="28">
        <v>2024</v>
      </c>
      <c r="E857" s="28" t="s">
        <v>15</v>
      </c>
      <c r="F857" s="38">
        <v>24</v>
      </c>
      <c r="G857" s="28" t="s">
        <v>101</v>
      </c>
      <c r="H857" s="28" t="s">
        <v>16</v>
      </c>
      <c r="I857" s="28" t="s">
        <v>16</v>
      </c>
      <c r="J857" s="28" t="s">
        <v>16</v>
      </c>
      <c r="K857" s="28" t="s">
        <v>78</v>
      </c>
      <c r="L857" s="29">
        <f t="shared" si="21"/>
        <v>332.64</v>
      </c>
    </row>
    <row r="858" spans="2:12" x14ac:dyDescent="0.25">
      <c r="B858" s="27">
        <v>45549</v>
      </c>
      <c r="C858" s="28" t="s">
        <v>42</v>
      </c>
      <c r="D858" s="28">
        <v>2024</v>
      </c>
      <c r="E858" s="28" t="s">
        <v>15</v>
      </c>
      <c r="F858" s="38">
        <v>26</v>
      </c>
      <c r="G858" s="28" t="s">
        <v>103</v>
      </c>
      <c r="H858" s="28" t="s">
        <v>16</v>
      </c>
      <c r="I858" s="28" t="s">
        <v>16</v>
      </c>
      <c r="J858" s="28" t="s">
        <v>16</v>
      </c>
      <c r="K858" s="28" t="s">
        <v>76</v>
      </c>
      <c r="L858" s="29">
        <f t="shared" si="21"/>
        <v>360.36</v>
      </c>
    </row>
    <row r="859" spans="2:12" x14ac:dyDescent="0.25">
      <c r="B859" s="27">
        <v>45549</v>
      </c>
      <c r="C859" s="28" t="s">
        <v>42</v>
      </c>
      <c r="D859" s="28">
        <v>2024</v>
      </c>
      <c r="E859" s="28" t="s">
        <v>15</v>
      </c>
      <c r="F859" s="38">
        <v>26</v>
      </c>
      <c r="G859" s="28" t="s">
        <v>101</v>
      </c>
      <c r="H859" s="28" t="s">
        <v>16</v>
      </c>
      <c r="I859" s="28" t="s">
        <v>16</v>
      </c>
      <c r="J859" s="28" t="s">
        <v>16</v>
      </c>
      <c r="K859" s="28" t="s">
        <v>74</v>
      </c>
      <c r="L859" s="29">
        <f t="shared" si="21"/>
        <v>360.36</v>
      </c>
    </row>
    <row r="860" spans="2:12" x14ac:dyDescent="0.25">
      <c r="B860" s="27">
        <v>45549</v>
      </c>
      <c r="C860" s="28" t="s">
        <v>42</v>
      </c>
      <c r="D860" s="28">
        <v>2024</v>
      </c>
      <c r="E860" s="28" t="s">
        <v>14</v>
      </c>
      <c r="F860" s="38">
        <v>26</v>
      </c>
      <c r="G860" s="28" t="s">
        <v>110</v>
      </c>
      <c r="H860" s="28" t="s">
        <v>16</v>
      </c>
      <c r="I860" s="28" t="s">
        <v>16</v>
      </c>
      <c r="J860" s="28" t="s">
        <v>16</v>
      </c>
      <c r="K860" s="28" t="s">
        <v>79</v>
      </c>
      <c r="L860" s="29">
        <f t="shared" si="21"/>
        <v>360.36</v>
      </c>
    </row>
    <row r="861" spans="2:12" x14ac:dyDescent="0.25">
      <c r="B861" s="27">
        <v>45549</v>
      </c>
      <c r="C861" s="28" t="s">
        <v>42</v>
      </c>
      <c r="D861" s="28">
        <v>2024</v>
      </c>
      <c r="E861" s="28" t="s">
        <v>14</v>
      </c>
      <c r="F861" s="38">
        <v>26</v>
      </c>
      <c r="G861" s="28" t="s">
        <v>110</v>
      </c>
      <c r="H861" s="28" t="s">
        <v>16</v>
      </c>
      <c r="I861" s="28" t="s">
        <v>16</v>
      </c>
      <c r="J861" s="28" t="s">
        <v>16</v>
      </c>
      <c r="K861" s="28" t="s">
        <v>79</v>
      </c>
      <c r="L861" s="29">
        <f t="shared" si="21"/>
        <v>360.36</v>
      </c>
    </row>
    <row r="862" spans="2:12" x14ac:dyDescent="0.25">
      <c r="B862" s="27">
        <v>45549</v>
      </c>
      <c r="C862" s="28" t="s">
        <v>42</v>
      </c>
      <c r="D862" s="28">
        <v>2024</v>
      </c>
      <c r="E862" s="28" t="s">
        <v>15</v>
      </c>
      <c r="F862" s="38">
        <v>26</v>
      </c>
      <c r="G862" s="28" t="s">
        <v>101</v>
      </c>
      <c r="H862" s="28" t="s">
        <v>16</v>
      </c>
      <c r="I862" s="28" t="s">
        <v>16</v>
      </c>
      <c r="J862" s="28" t="s">
        <v>16</v>
      </c>
      <c r="K862" s="28" t="s">
        <v>79</v>
      </c>
      <c r="L862" s="29">
        <f t="shared" si="21"/>
        <v>360.36</v>
      </c>
    </row>
    <row r="863" spans="2:12" x14ac:dyDescent="0.25">
      <c r="B863" s="27">
        <v>45550</v>
      </c>
      <c r="C863" s="28" t="s">
        <v>42</v>
      </c>
      <c r="D863" s="28">
        <v>2024</v>
      </c>
      <c r="E863" s="28" t="s">
        <v>15</v>
      </c>
      <c r="F863" s="38">
        <v>26</v>
      </c>
      <c r="G863" s="28" t="s">
        <v>110</v>
      </c>
      <c r="H863" s="28" t="s">
        <v>16</v>
      </c>
      <c r="I863" s="28" t="s">
        <v>16</v>
      </c>
      <c r="J863" s="28" t="s">
        <v>16</v>
      </c>
      <c r="K863" s="28" t="s">
        <v>79</v>
      </c>
      <c r="L863" s="29">
        <f t="shared" si="21"/>
        <v>360.36</v>
      </c>
    </row>
    <row r="864" spans="2:12" x14ac:dyDescent="0.25">
      <c r="B864" s="27">
        <v>45550</v>
      </c>
      <c r="C864" s="28" t="s">
        <v>42</v>
      </c>
      <c r="D864" s="28">
        <v>2024</v>
      </c>
      <c r="E864" s="28" t="s">
        <v>14</v>
      </c>
      <c r="F864" s="38">
        <v>16</v>
      </c>
      <c r="G864" s="28" t="s">
        <v>108</v>
      </c>
      <c r="H864" s="28" t="s">
        <v>16</v>
      </c>
      <c r="I864" s="28" t="s">
        <v>16</v>
      </c>
      <c r="J864" s="28" t="s">
        <v>16</v>
      </c>
      <c r="K864" s="28" t="s">
        <v>78</v>
      </c>
      <c r="L864" s="29">
        <f t="shared" si="21"/>
        <v>221.76</v>
      </c>
    </row>
    <row r="865" spans="2:12" x14ac:dyDescent="0.25">
      <c r="B865" s="27">
        <v>45551</v>
      </c>
      <c r="C865" s="28" t="s">
        <v>42</v>
      </c>
      <c r="D865" s="28">
        <v>2024</v>
      </c>
      <c r="E865" s="28" t="s">
        <v>15</v>
      </c>
      <c r="F865" s="38">
        <v>12</v>
      </c>
      <c r="G865" s="28" t="s">
        <v>105</v>
      </c>
      <c r="H865" s="28" t="s">
        <v>16</v>
      </c>
      <c r="I865" s="28" t="s">
        <v>16</v>
      </c>
      <c r="J865" s="28" t="s">
        <v>16</v>
      </c>
      <c r="K865" s="28" t="s">
        <v>74</v>
      </c>
      <c r="L865" s="29">
        <f t="shared" si="21"/>
        <v>166.32</v>
      </c>
    </row>
    <row r="866" spans="2:12" x14ac:dyDescent="0.25">
      <c r="B866" s="27">
        <v>45555</v>
      </c>
      <c r="C866" s="28" t="s">
        <v>42</v>
      </c>
      <c r="D866" s="28">
        <v>2024</v>
      </c>
      <c r="E866" s="28" t="s">
        <v>15</v>
      </c>
      <c r="F866" s="38">
        <v>26</v>
      </c>
      <c r="G866" s="28" t="s">
        <v>86</v>
      </c>
      <c r="H866" s="28" t="s">
        <v>16</v>
      </c>
      <c r="I866" s="28" t="s">
        <v>16</v>
      </c>
      <c r="J866" s="28" t="s">
        <v>16</v>
      </c>
      <c r="K866" s="28" t="s">
        <v>79</v>
      </c>
      <c r="L866" s="29">
        <f t="shared" si="21"/>
        <v>360.36</v>
      </c>
    </row>
    <row r="867" spans="2:12" x14ac:dyDescent="0.25">
      <c r="B867" s="27">
        <v>45555</v>
      </c>
      <c r="C867" s="28" t="s">
        <v>42</v>
      </c>
      <c r="D867" s="28">
        <v>2024</v>
      </c>
      <c r="E867" s="28" t="s">
        <v>15</v>
      </c>
      <c r="F867" s="38">
        <v>8</v>
      </c>
      <c r="G867" s="28" t="s">
        <v>85</v>
      </c>
      <c r="H867" s="28" t="s">
        <v>16</v>
      </c>
      <c r="I867" s="28" t="s">
        <v>16</v>
      </c>
      <c r="J867" s="28" t="s">
        <v>16</v>
      </c>
      <c r="K867" s="28" t="s">
        <v>79</v>
      </c>
      <c r="L867" s="29">
        <f t="shared" si="21"/>
        <v>110.88</v>
      </c>
    </row>
    <row r="868" spans="2:12" x14ac:dyDescent="0.25">
      <c r="B868" s="27">
        <v>45555</v>
      </c>
      <c r="C868" s="28" t="s">
        <v>42</v>
      </c>
      <c r="D868" s="28">
        <v>2024</v>
      </c>
      <c r="E868" s="28" t="s">
        <v>15</v>
      </c>
      <c r="F868" s="38">
        <v>26</v>
      </c>
      <c r="G868" s="28" t="s">
        <v>104</v>
      </c>
      <c r="H868" s="28" t="s">
        <v>16</v>
      </c>
      <c r="I868" s="28" t="s">
        <v>16</v>
      </c>
      <c r="J868" s="28" t="s">
        <v>16</v>
      </c>
      <c r="K868" s="28" t="s">
        <v>75</v>
      </c>
      <c r="L868" s="29">
        <f t="shared" si="21"/>
        <v>360.36</v>
      </c>
    </row>
    <row r="869" spans="2:12" x14ac:dyDescent="0.25">
      <c r="B869" s="27">
        <v>45557</v>
      </c>
      <c r="C869" s="28" t="s">
        <v>42</v>
      </c>
      <c r="D869" s="28">
        <v>2024</v>
      </c>
      <c r="E869" s="28" t="s">
        <v>15</v>
      </c>
      <c r="F869" s="38">
        <v>26</v>
      </c>
      <c r="G869" s="28" t="s">
        <v>101</v>
      </c>
      <c r="H869" s="28" t="s">
        <v>16</v>
      </c>
      <c r="I869" s="28" t="s">
        <v>16</v>
      </c>
      <c r="J869" s="28" t="s">
        <v>16</v>
      </c>
      <c r="K869" s="28" t="s">
        <v>76</v>
      </c>
      <c r="L869" s="29">
        <f t="shared" si="21"/>
        <v>360.36</v>
      </c>
    </row>
    <row r="870" spans="2:12" x14ac:dyDescent="0.25">
      <c r="B870" s="27">
        <v>45559</v>
      </c>
      <c r="C870" s="28" t="s">
        <v>42</v>
      </c>
      <c r="D870" s="28">
        <v>2024</v>
      </c>
      <c r="E870" s="28" t="s">
        <v>15</v>
      </c>
      <c r="F870" s="38">
        <v>26</v>
      </c>
      <c r="G870" s="28" t="s">
        <v>101</v>
      </c>
      <c r="H870" s="28" t="s">
        <v>16</v>
      </c>
      <c r="I870" s="28" t="s">
        <v>16</v>
      </c>
      <c r="J870" s="28" t="s">
        <v>16</v>
      </c>
      <c r="K870" s="28" t="s">
        <v>79</v>
      </c>
      <c r="L870" s="29">
        <f t="shared" si="21"/>
        <v>360.36</v>
      </c>
    </row>
    <row r="871" spans="2:12" x14ac:dyDescent="0.25">
      <c r="B871" s="27">
        <v>45561</v>
      </c>
      <c r="C871" s="28" t="s">
        <v>42</v>
      </c>
      <c r="D871" s="28">
        <v>2024</v>
      </c>
      <c r="E871" s="28" t="s">
        <v>14</v>
      </c>
      <c r="F871" s="38">
        <v>40</v>
      </c>
      <c r="G871" s="28" t="s">
        <v>94</v>
      </c>
      <c r="H871" s="28" t="s">
        <v>16</v>
      </c>
      <c r="I871" s="28" t="s">
        <v>16</v>
      </c>
      <c r="J871" s="28" t="s">
        <v>16</v>
      </c>
      <c r="K871" s="28" t="s">
        <v>79</v>
      </c>
      <c r="L871" s="29">
        <f>F871*13.86</f>
        <v>554.4</v>
      </c>
    </row>
    <row r="872" spans="2:12" x14ac:dyDescent="0.25">
      <c r="B872" s="27">
        <v>45562</v>
      </c>
      <c r="C872" s="28" t="s">
        <v>42</v>
      </c>
      <c r="D872" s="28">
        <v>2024</v>
      </c>
      <c r="E872" s="28" t="s">
        <v>14</v>
      </c>
      <c r="F872" s="38">
        <v>26</v>
      </c>
      <c r="G872" s="28" t="s">
        <v>94</v>
      </c>
      <c r="H872" s="28" t="s">
        <v>16</v>
      </c>
      <c r="I872" s="28" t="s">
        <v>16</v>
      </c>
      <c r="J872" s="28" t="s">
        <v>16</v>
      </c>
      <c r="K872" s="28" t="s">
        <v>76</v>
      </c>
      <c r="L872" s="29">
        <f t="shared" si="21"/>
        <v>360.36</v>
      </c>
    </row>
    <row r="873" spans="2:12" x14ac:dyDescent="0.25">
      <c r="B873" s="27">
        <v>45562</v>
      </c>
      <c r="C873" s="28" t="s">
        <v>42</v>
      </c>
      <c r="D873" s="28">
        <v>2024</v>
      </c>
      <c r="E873" s="28" t="s">
        <v>14</v>
      </c>
      <c r="F873" s="38">
        <v>4</v>
      </c>
      <c r="G873" s="28" t="s">
        <v>93</v>
      </c>
      <c r="H873" s="28" t="s">
        <v>16</v>
      </c>
      <c r="I873" s="28" t="s">
        <v>16</v>
      </c>
      <c r="J873" s="28" t="s">
        <v>16</v>
      </c>
      <c r="K873" s="28" t="s">
        <v>76</v>
      </c>
      <c r="L873" s="29">
        <f t="shared" si="21"/>
        <v>55.44</v>
      </c>
    </row>
    <row r="874" spans="2:12" x14ac:dyDescent="0.25">
      <c r="B874" s="27">
        <v>45562</v>
      </c>
      <c r="C874" s="28" t="s">
        <v>42</v>
      </c>
      <c r="D874" s="28">
        <v>2024</v>
      </c>
      <c r="E874" s="28" t="s">
        <v>15</v>
      </c>
      <c r="F874" s="38">
        <v>3</v>
      </c>
      <c r="G874" s="28" t="s">
        <v>111</v>
      </c>
      <c r="H874" s="28" t="s">
        <v>16</v>
      </c>
      <c r="I874" s="28" t="s">
        <v>16</v>
      </c>
      <c r="J874" s="28" t="s">
        <v>16</v>
      </c>
      <c r="K874" s="28" t="s">
        <v>76</v>
      </c>
      <c r="L874" s="29">
        <f t="shared" si="21"/>
        <v>41.58</v>
      </c>
    </row>
    <row r="875" spans="2:12" x14ac:dyDescent="0.25">
      <c r="B875" s="27">
        <v>45563</v>
      </c>
      <c r="C875" s="28" t="s">
        <v>42</v>
      </c>
      <c r="D875" s="28">
        <v>2024</v>
      </c>
      <c r="E875" s="28" t="s">
        <v>14</v>
      </c>
      <c r="F875" s="38">
        <v>14</v>
      </c>
      <c r="G875" s="28" t="s">
        <v>108</v>
      </c>
      <c r="H875" s="28" t="s">
        <v>16</v>
      </c>
      <c r="I875" s="28" t="s">
        <v>16</v>
      </c>
      <c r="J875" s="28" t="s">
        <v>16</v>
      </c>
      <c r="K875" s="28" t="s">
        <v>76</v>
      </c>
      <c r="L875" s="29">
        <f t="shared" si="21"/>
        <v>194.04</v>
      </c>
    </row>
    <row r="876" spans="2:12" x14ac:dyDescent="0.25">
      <c r="B876" s="27">
        <v>45563</v>
      </c>
      <c r="C876" s="28" t="s">
        <v>42</v>
      </c>
      <c r="D876" s="28">
        <v>2024</v>
      </c>
      <c r="E876" s="28" t="s">
        <v>14</v>
      </c>
      <c r="F876" s="38">
        <v>40</v>
      </c>
      <c r="G876" s="28" t="s">
        <v>98</v>
      </c>
      <c r="H876" s="28" t="s">
        <v>16</v>
      </c>
      <c r="I876" s="28" t="s">
        <v>16</v>
      </c>
      <c r="J876" s="28" t="s">
        <v>16</v>
      </c>
      <c r="K876" s="28" t="s">
        <v>76</v>
      </c>
      <c r="L876" s="29">
        <f t="shared" si="21"/>
        <v>554.4</v>
      </c>
    </row>
    <row r="877" spans="2:12" x14ac:dyDescent="0.25">
      <c r="B877" s="27">
        <v>45564</v>
      </c>
      <c r="C877" s="28" t="s">
        <v>42</v>
      </c>
      <c r="D877" s="28">
        <v>2024</v>
      </c>
      <c r="E877" s="28" t="s">
        <v>15</v>
      </c>
      <c r="F877" s="38">
        <v>26</v>
      </c>
      <c r="G877" s="28" t="s">
        <v>101</v>
      </c>
      <c r="H877" s="28" t="s">
        <v>16</v>
      </c>
      <c r="I877" s="28" t="s">
        <v>16</v>
      </c>
      <c r="J877" s="28" t="s">
        <v>16</v>
      </c>
      <c r="K877" s="28" t="s">
        <v>76</v>
      </c>
      <c r="L877" s="29">
        <f t="shared" si="21"/>
        <v>360.36</v>
      </c>
    </row>
    <row r="878" spans="2:12" x14ac:dyDescent="0.25">
      <c r="B878" s="27">
        <v>45564</v>
      </c>
      <c r="C878" s="28" t="s">
        <v>42</v>
      </c>
      <c r="D878" s="28">
        <v>2024</v>
      </c>
      <c r="E878" s="28" t="s">
        <v>15</v>
      </c>
      <c r="F878" s="38">
        <v>26</v>
      </c>
      <c r="G878" s="28" t="s">
        <v>101</v>
      </c>
      <c r="H878" s="28" t="s">
        <v>16</v>
      </c>
      <c r="I878" s="28" t="s">
        <v>16</v>
      </c>
      <c r="J878" s="28" t="s">
        <v>16</v>
      </c>
      <c r="K878" s="28" t="s">
        <v>76</v>
      </c>
      <c r="L878" s="29">
        <f t="shared" si="21"/>
        <v>360.36</v>
      </c>
    </row>
    <row r="879" spans="2:12" x14ac:dyDescent="0.25">
      <c r="B879" s="27">
        <v>45564</v>
      </c>
      <c r="C879" s="28" t="s">
        <v>42</v>
      </c>
      <c r="D879" s="28">
        <v>2024</v>
      </c>
      <c r="E879" s="28" t="s">
        <v>65</v>
      </c>
      <c r="F879" s="38">
        <v>-24</v>
      </c>
      <c r="G879" s="28" t="s">
        <v>101</v>
      </c>
      <c r="H879" s="28" t="s">
        <v>16</v>
      </c>
      <c r="I879" s="28" t="s">
        <v>16</v>
      </c>
      <c r="J879" s="28" t="s">
        <v>16</v>
      </c>
      <c r="K879" s="28" t="s">
        <v>83</v>
      </c>
      <c r="L879" s="40">
        <f t="shared" ref="L879:L884" si="22">F879*13.86</f>
        <v>-332.64</v>
      </c>
    </row>
    <row r="880" spans="2:12" x14ac:dyDescent="0.25">
      <c r="B880" s="27">
        <v>45564</v>
      </c>
      <c r="C880" s="28" t="s">
        <v>42</v>
      </c>
      <c r="D880" s="28">
        <v>2024</v>
      </c>
      <c r="E880" s="28" t="s">
        <v>65</v>
      </c>
      <c r="F880" s="38">
        <v>-24</v>
      </c>
      <c r="G880" s="28" t="s">
        <v>101</v>
      </c>
      <c r="H880" s="28" t="s">
        <v>16</v>
      </c>
      <c r="I880" s="28" t="s">
        <v>16</v>
      </c>
      <c r="J880" s="28" t="s">
        <v>16</v>
      </c>
      <c r="K880" s="28" t="s">
        <v>83</v>
      </c>
      <c r="L880" s="40">
        <f t="shared" si="22"/>
        <v>-332.64</v>
      </c>
    </row>
    <row r="881" spans="2:15" x14ac:dyDescent="0.25">
      <c r="B881" s="27">
        <v>45565</v>
      </c>
      <c r="C881" s="28" t="s">
        <v>42</v>
      </c>
      <c r="D881" s="28">
        <v>2024</v>
      </c>
      <c r="E881" s="28" t="s">
        <v>14</v>
      </c>
      <c r="F881" s="38">
        <v>22</v>
      </c>
      <c r="G881" s="28" t="s">
        <v>87</v>
      </c>
      <c r="H881" s="28" t="s">
        <v>16</v>
      </c>
      <c r="I881" s="28" t="s">
        <v>16</v>
      </c>
      <c r="J881" s="28" t="s">
        <v>16</v>
      </c>
      <c r="K881" s="28" t="s">
        <v>76</v>
      </c>
      <c r="L881" s="29">
        <f t="shared" si="22"/>
        <v>304.91999999999996</v>
      </c>
    </row>
    <row r="882" spans="2:15" x14ac:dyDescent="0.25">
      <c r="B882" s="27">
        <v>45565</v>
      </c>
      <c r="C882" s="28" t="s">
        <v>42</v>
      </c>
      <c r="D882" s="28">
        <v>2024</v>
      </c>
      <c r="E882" s="28" t="s">
        <v>15</v>
      </c>
      <c r="F882" s="38">
        <v>26</v>
      </c>
      <c r="G882" s="28" t="s">
        <v>87</v>
      </c>
      <c r="H882" s="28" t="s">
        <v>16</v>
      </c>
      <c r="I882" s="28" t="s">
        <v>16</v>
      </c>
      <c r="J882" s="28" t="s">
        <v>16</v>
      </c>
      <c r="K882" s="28" t="s">
        <v>78</v>
      </c>
      <c r="L882" s="29">
        <f t="shared" si="22"/>
        <v>360.36</v>
      </c>
    </row>
    <row r="883" spans="2:15" x14ac:dyDescent="0.25">
      <c r="B883" s="27">
        <v>45565</v>
      </c>
      <c r="C883" s="28" t="s">
        <v>42</v>
      </c>
      <c r="D883" s="28">
        <v>2024</v>
      </c>
      <c r="E883" s="28" t="s">
        <v>15</v>
      </c>
      <c r="F883" s="38">
        <v>26</v>
      </c>
      <c r="G883" s="28" t="s">
        <v>103</v>
      </c>
      <c r="H883" s="28" t="s">
        <v>16</v>
      </c>
      <c r="I883" s="28" t="s">
        <v>16</v>
      </c>
      <c r="J883" s="28" t="s">
        <v>16</v>
      </c>
      <c r="K883" s="28" t="s">
        <v>76</v>
      </c>
      <c r="L883" s="29">
        <f t="shared" si="22"/>
        <v>360.36</v>
      </c>
    </row>
    <row r="884" spans="2:15" x14ac:dyDescent="0.25">
      <c r="B884" s="27">
        <v>45565</v>
      </c>
      <c r="C884" s="28" t="s">
        <v>42</v>
      </c>
      <c r="D884" s="28">
        <v>2024</v>
      </c>
      <c r="E884" s="28" t="s">
        <v>14</v>
      </c>
      <c r="F884" s="38">
        <v>12</v>
      </c>
      <c r="G884" s="28" t="s">
        <v>105</v>
      </c>
      <c r="H884" s="28" t="s">
        <v>16</v>
      </c>
      <c r="I884" s="28" t="s">
        <v>16</v>
      </c>
      <c r="J884" s="28" t="s">
        <v>16</v>
      </c>
      <c r="K884" s="28" t="s">
        <v>76</v>
      </c>
      <c r="L884" s="29">
        <f t="shared" si="22"/>
        <v>166.32</v>
      </c>
    </row>
    <row r="885" spans="2:15" x14ac:dyDescent="0.25">
      <c r="B885" s="27">
        <v>45301</v>
      </c>
      <c r="C885" s="28" t="s">
        <v>43</v>
      </c>
      <c r="D885" s="28">
        <v>2024</v>
      </c>
      <c r="E885" s="28" t="s">
        <v>15</v>
      </c>
      <c r="F885" s="38">
        <v>24</v>
      </c>
      <c r="G885" s="28" t="s">
        <v>66</v>
      </c>
      <c r="H885" s="28" t="s">
        <v>16</v>
      </c>
      <c r="I885" s="28" t="s">
        <v>16</v>
      </c>
      <c r="J885" s="28" t="s">
        <v>16</v>
      </c>
      <c r="K885" s="28" t="s">
        <v>76</v>
      </c>
      <c r="L885" s="29">
        <f t="shared" ref="L885:L895" si="23">F885*13.86</f>
        <v>332.64</v>
      </c>
    </row>
    <row r="886" spans="2:15" x14ac:dyDescent="0.25">
      <c r="B886" s="27">
        <v>45301</v>
      </c>
      <c r="C886" s="28" t="s">
        <v>43</v>
      </c>
      <c r="D886" s="28">
        <v>2024</v>
      </c>
      <c r="E886" s="28" t="s">
        <v>15</v>
      </c>
      <c r="F886" s="38">
        <v>10</v>
      </c>
      <c r="G886" s="28" t="s">
        <v>96</v>
      </c>
      <c r="H886" s="28" t="s">
        <v>16</v>
      </c>
      <c r="I886" s="28" t="s">
        <v>16</v>
      </c>
      <c r="J886" s="28" t="s">
        <v>16</v>
      </c>
      <c r="K886" s="28" t="s">
        <v>76</v>
      </c>
      <c r="L886" s="29">
        <f t="shared" si="23"/>
        <v>138.6</v>
      </c>
    </row>
    <row r="887" spans="2:15" x14ac:dyDescent="0.25">
      <c r="B887" s="27">
        <v>45332</v>
      </c>
      <c r="C887" s="28" t="s">
        <v>43</v>
      </c>
      <c r="D887" s="28">
        <v>2024</v>
      </c>
      <c r="E887" s="28" t="s">
        <v>14</v>
      </c>
      <c r="F887" s="38">
        <v>26</v>
      </c>
      <c r="G887" s="28" t="s">
        <v>101</v>
      </c>
      <c r="H887" s="28" t="s">
        <v>16</v>
      </c>
      <c r="I887" s="28" t="s">
        <v>16</v>
      </c>
      <c r="J887" s="28" t="s">
        <v>16</v>
      </c>
      <c r="K887" s="28" t="s">
        <v>74</v>
      </c>
      <c r="L887" s="29">
        <f t="shared" si="23"/>
        <v>360.36</v>
      </c>
    </row>
    <row r="888" spans="2:15" x14ac:dyDescent="0.25">
      <c r="B888" s="27">
        <v>45578</v>
      </c>
      <c r="C888" s="28" t="s">
        <v>43</v>
      </c>
      <c r="D888" s="28">
        <v>2024</v>
      </c>
      <c r="E888" s="28" t="s">
        <v>14</v>
      </c>
      <c r="F888" s="38">
        <v>26</v>
      </c>
      <c r="G888" s="28" t="s">
        <v>94</v>
      </c>
      <c r="H888" s="28" t="s">
        <v>16</v>
      </c>
      <c r="I888" s="28" t="s">
        <v>16</v>
      </c>
      <c r="J888" s="28" t="s">
        <v>16</v>
      </c>
      <c r="K888" s="28" t="s">
        <v>76</v>
      </c>
      <c r="L888" s="29">
        <f t="shared" si="23"/>
        <v>360.36</v>
      </c>
    </row>
    <row r="889" spans="2:15" x14ac:dyDescent="0.25">
      <c r="B889" s="27">
        <v>45580</v>
      </c>
      <c r="C889" s="28" t="s">
        <v>43</v>
      </c>
      <c r="D889" s="28">
        <v>2024</v>
      </c>
      <c r="E889" s="28" t="s">
        <v>15</v>
      </c>
      <c r="F889" s="38">
        <v>26</v>
      </c>
      <c r="G889" s="28" t="s">
        <v>101</v>
      </c>
      <c r="H889" s="28" t="s">
        <v>16</v>
      </c>
      <c r="I889" s="28" t="s">
        <v>16</v>
      </c>
      <c r="J889" s="28" t="s">
        <v>16</v>
      </c>
      <c r="K889" s="28" t="s">
        <v>78</v>
      </c>
      <c r="L889" s="29">
        <f t="shared" si="23"/>
        <v>360.36</v>
      </c>
    </row>
    <row r="890" spans="2:15" x14ac:dyDescent="0.25">
      <c r="B890" s="27">
        <v>45583</v>
      </c>
      <c r="C890" s="28" t="s">
        <v>43</v>
      </c>
      <c r="D890" s="28">
        <v>2024</v>
      </c>
      <c r="E890" s="28" t="s">
        <v>14</v>
      </c>
      <c r="F890" s="38">
        <v>27</v>
      </c>
      <c r="G890" s="28" t="s">
        <v>94</v>
      </c>
      <c r="H890" s="28" t="s">
        <v>16</v>
      </c>
      <c r="I890" s="28" t="s">
        <v>16</v>
      </c>
      <c r="J890" s="28" t="s">
        <v>16</v>
      </c>
      <c r="K890" s="28" t="s">
        <v>74</v>
      </c>
      <c r="L890" s="29">
        <f t="shared" si="23"/>
        <v>374.21999999999997</v>
      </c>
    </row>
    <row r="891" spans="2:15" x14ac:dyDescent="0.25">
      <c r="B891" s="27">
        <v>45583</v>
      </c>
      <c r="C891" s="28" t="s">
        <v>43</v>
      </c>
      <c r="D891" s="28">
        <v>2024</v>
      </c>
      <c r="E891" s="28" t="s">
        <v>14</v>
      </c>
      <c r="F891" s="38">
        <v>14</v>
      </c>
      <c r="G891" s="28" t="s">
        <v>93</v>
      </c>
      <c r="H891" s="28" t="s">
        <v>16</v>
      </c>
      <c r="I891" s="28" t="s">
        <v>16</v>
      </c>
      <c r="J891" s="28" t="s">
        <v>16</v>
      </c>
      <c r="K891" s="28" t="s">
        <v>75</v>
      </c>
      <c r="L891" s="29">
        <f t="shared" si="23"/>
        <v>194.04</v>
      </c>
      <c r="O891" s="44" t="s">
        <v>72</v>
      </c>
    </row>
    <row r="892" spans="2:15" x14ac:dyDescent="0.25">
      <c r="B892" s="27">
        <v>45587</v>
      </c>
      <c r="C892" s="28" t="s">
        <v>43</v>
      </c>
      <c r="D892" s="28">
        <v>2024</v>
      </c>
      <c r="E892" s="28" t="s">
        <v>15</v>
      </c>
      <c r="F892" s="38">
        <v>26</v>
      </c>
      <c r="G892" s="28" t="s">
        <v>103</v>
      </c>
      <c r="H892" s="28" t="s">
        <v>16</v>
      </c>
      <c r="I892" s="28" t="s">
        <v>16</v>
      </c>
      <c r="J892" s="28" t="s">
        <v>16</v>
      </c>
      <c r="K892" s="28" t="s">
        <v>79</v>
      </c>
      <c r="L892" s="29">
        <f t="shared" si="23"/>
        <v>360.36</v>
      </c>
    </row>
    <row r="893" spans="2:15" x14ac:dyDescent="0.25">
      <c r="B893" s="27">
        <v>45587</v>
      </c>
      <c r="C893" s="28" t="s">
        <v>43</v>
      </c>
      <c r="D893" s="28">
        <v>2024</v>
      </c>
      <c r="E893" s="28" t="s">
        <v>14</v>
      </c>
      <c r="F893" s="38">
        <v>8</v>
      </c>
      <c r="G893" s="28" t="s">
        <v>103</v>
      </c>
      <c r="H893" s="28" t="s">
        <v>16</v>
      </c>
      <c r="I893" s="28" t="s">
        <v>16</v>
      </c>
      <c r="J893" s="28" t="s">
        <v>16</v>
      </c>
      <c r="K893" s="28" t="s">
        <v>75</v>
      </c>
      <c r="L893" s="29">
        <f t="shared" si="23"/>
        <v>110.88</v>
      </c>
    </row>
    <row r="894" spans="2:15" x14ac:dyDescent="0.25">
      <c r="B894" s="27">
        <v>45590</v>
      </c>
      <c r="C894" s="28" t="s">
        <v>43</v>
      </c>
      <c r="D894" s="28">
        <v>2024</v>
      </c>
      <c r="E894" s="28" t="s">
        <v>14</v>
      </c>
      <c r="F894" s="38">
        <v>9</v>
      </c>
      <c r="G894" s="28" t="s">
        <v>99</v>
      </c>
      <c r="H894" s="28" t="s">
        <v>16</v>
      </c>
      <c r="I894" s="28" t="s">
        <v>16</v>
      </c>
      <c r="J894" s="28" t="s">
        <v>16</v>
      </c>
      <c r="K894" s="28" t="s">
        <v>75</v>
      </c>
      <c r="L894" s="29">
        <f t="shared" si="23"/>
        <v>124.74</v>
      </c>
    </row>
    <row r="895" spans="2:15" x14ac:dyDescent="0.25">
      <c r="B895" s="27">
        <v>45591</v>
      </c>
      <c r="C895" s="28" t="s">
        <v>43</v>
      </c>
      <c r="D895" s="28">
        <v>2024</v>
      </c>
      <c r="E895" s="28" t="s">
        <v>15</v>
      </c>
      <c r="F895" s="38">
        <v>24</v>
      </c>
      <c r="G895" s="28" t="s">
        <v>101</v>
      </c>
      <c r="H895" s="28" t="s">
        <v>16</v>
      </c>
      <c r="I895" s="28" t="s">
        <v>16</v>
      </c>
      <c r="J895" s="28" t="s">
        <v>16</v>
      </c>
      <c r="K895" s="28" t="s">
        <v>75</v>
      </c>
      <c r="L895" s="29">
        <f t="shared" si="23"/>
        <v>332.64</v>
      </c>
    </row>
    <row r="896" spans="2:15" x14ac:dyDescent="0.25">
      <c r="B896" s="27">
        <v>45592</v>
      </c>
      <c r="C896" s="28" t="s">
        <v>43</v>
      </c>
      <c r="D896" s="28">
        <v>2024</v>
      </c>
      <c r="E896" s="28" t="s">
        <v>15</v>
      </c>
      <c r="F896" s="38">
        <v>24</v>
      </c>
      <c r="G896" s="28" t="s">
        <v>87</v>
      </c>
      <c r="H896" s="28" t="s">
        <v>16</v>
      </c>
      <c r="I896" s="28" t="s">
        <v>16</v>
      </c>
      <c r="J896" s="28" t="s">
        <v>16</v>
      </c>
      <c r="K896" s="28" t="s">
        <v>75</v>
      </c>
      <c r="L896" s="29">
        <f t="shared" ref="L896:L906" si="24">F896*13.86</f>
        <v>332.64</v>
      </c>
    </row>
    <row r="897" spans="2:12" x14ac:dyDescent="0.25">
      <c r="B897" s="27">
        <v>45593</v>
      </c>
      <c r="C897" s="28" t="s">
        <v>43</v>
      </c>
      <c r="D897" s="28">
        <v>2024</v>
      </c>
      <c r="E897" s="28" t="s">
        <v>14</v>
      </c>
      <c r="F897" s="38">
        <v>16</v>
      </c>
      <c r="G897" s="28" t="s">
        <v>103</v>
      </c>
      <c r="H897" s="28" t="s">
        <v>16</v>
      </c>
      <c r="I897" s="28" t="s">
        <v>16</v>
      </c>
      <c r="J897" s="28" t="s">
        <v>16</v>
      </c>
      <c r="K897" s="28" t="s">
        <v>74</v>
      </c>
      <c r="L897" s="29">
        <f t="shared" si="24"/>
        <v>221.76</v>
      </c>
    </row>
    <row r="898" spans="2:12" x14ac:dyDescent="0.25">
      <c r="B898" s="27">
        <v>45595</v>
      </c>
      <c r="C898" s="28" t="s">
        <v>43</v>
      </c>
      <c r="D898" s="28">
        <v>2024</v>
      </c>
      <c r="E898" s="28" t="s">
        <v>14</v>
      </c>
      <c r="F898" s="38">
        <v>26</v>
      </c>
      <c r="G898" s="28" t="s">
        <v>95</v>
      </c>
      <c r="H898" s="28" t="s">
        <v>16</v>
      </c>
      <c r="I898" s="28" t="s">
        <v>16</v>
      </c>
      <c r="J898" s="28" t="s">
        <v>16</v>
      </c>
      <c r="K898" s="28" t="s">
        <v>74</v>
      </c>
      <c r="L898" s="29">
        <f t="shared" si="24"/>
        <v>360.36</v>
      </c>
    </row>
    <row r="899" spans="2:12" x14ac:dyDescent="0.25">
      <c r="B899" s="27">
        <v>45595</v>
      </c>
      <c r="C899" s="28" t="s">
        <v>43</v>
      </c>
      <c r="D899" s="28">
        <v>2024</v>
      </c>
      <c r="E899" s="28" t="s">
        <v>14</v>
      </c>
      <c r="F899" s="38">
        <v>26</v>
      </c>
      <c r="G899" s="28" t="s">
        <v>95</v>
      </c>
      <c r="H899" s="28" t="s">
        <v>16</v>
      </c>
      <c r="I899" s="28" t="s">
        <v>16</v>
      </c>
      <c r="J899" s="28" t="s">
        <v>16</v>
      </c>
      <c r="K899" s="28" t="s">
        <v>73</v>
      </c>
      <c r="L899" s="29">
        <f t="shared" si="24"/>
        <v>360.36</v>
      </c>
    </row>
    <row r="900" spans="2:12" x14ac:dyDescent="0.25">
      <c r="B900" s="27">
        <v>45960</v>
      </c>
      <c r="C900" s="28" t="s">
        <v>43</v>
      </c>
      <c r="D900" s="28">
        <v>2025</v>
      </c>
      <c r="E900" s="28" t="s">
        <v>14</v>
      </c>
      <c r="F900" s="38">
        <v>34</v>
      </c>
      <c r="G900" s="28" t="s">
        <v>103</v>
      </c>
      <c r="H900" s="28" t="s">
        <v>16</v>
      </c>
      <c r="I900" s="28" t="s">
        <v>16</v>
      </c>
      <c r="J900" s="28" t="s">
        <v>16</v>
      </c>
      <c r="K900" s="28" t="s">
        <v>76</v>
      </c>
      <c r="L900" s="29">
        <f t="shared" si="24"/>
        <v>471.24</v>
      </c>
    </row>
    <row r="901" spans="2:12" x14ac:dyDescent="0.25">
      <c r="B901" s="27">
        <v>45960</v>
      </c>
      <c r="C901" s="28" t="s">
        <v>43</v>
      </c>
      <c r="D901" s="28">
        <v>2025</v>
      </c>
      <c r="E901" s="28" t="s">
        <v>65</v>
      </c>
      <c r="F901" s="38">
        <v>3</v>
      </c>
      <c r="G901" s="28" t="s">
        <v>87</v>
      </c>
      <c r="H901" s="28" t="s">
        <v>16</v>
      </c>
      <c r="I901" s="28" t="s">
        <v>16</v>
      </c>
      <c r="J901" s="28" t="s">
        <v>16</v>
      </c>
      <c r="K901" s="28" t="s">
        <v>74</v>
      </c>
      <c r="L901" s="29">
        <f t="shared" si="24"/>
        <v>41.58</v>
      </c>
    </row>
    <row r="902" spans="2:12" x14ac:dyDescent="0.25">
      <c r="B902" s="27">
        <v>45960</v>
      </c>
      <c r="C902" s="28" t="s">
        <v>43</v>
      </c>
      <c r="D902" s="28">
        <v>2025</v>
      </c>
      <c r="E902" s="28" t="s">
        <v>15</v>
      </c>
      <c r="F902" s="38">
        <v>5</v>
      </c>
      <c r="G902" s="28" t="s">
        <v>87</v>
      </c>
      <c r="H902" s="28" t="s">
        <v>16</v>
      </c>
      <c r="I902" s="28" t="s">
        <v>16</v>
      </c>
      <c r="J902" s="28" t="s">
        <v>16</v>
      </c>
      <c r="K902" s="28" t="s">
        <v>76</v>
      </c>
      <c r="L902" s="29">
        <f t="shared" si="24"/>
        <v>69.3</v>
      </c>
    </row>
    <row r="903" spans="2:12" x14ac:dyDescent="0.25">
      <c r="B903" s="27" t="s">
        <v>116</v>
      </c>
      <c r="C903" s="28" t="s">
        <v>43</v>
      </c>
      <c r="D903" s="28">
        <v>2025</v>
      </c>
      <c r="E903" s="28" t="s">
        <v>65</v>
      </c>
      <c r="F903" s="38">
        <v>9</v>
      </c>
      <c r="G903" s="28" t="s">
        <v>94</v>
      </c>
      <c r="H903" s="28" t="s">
        <v>16</v>
      </c>
      <c r="I903" s="28" t="s">
        <v>16</v>
      </c>
      <c r="J903" s="28" t="s">
        <v>16</v>
      </c>
      <c r="K903" s="28" t="s">
        <v>80</v>
      </c>
      <c r="L903" s="29">
        <f t="shared" si="24"/>
        <v>124.74</v>
      </c>
    </row>
    <row r="904" spans="2:12" x14ac:dyDescent="0.25">
      <c r="B904" s="27" t="s">
        <v>116</v>
      </c>
      <c r="C904" s="28" t="s">
        <v>43</v>
      </c>
      <c r="D904" s="28">
        <v>2025</v>
      </c>
      <c r="E904" s="28" t="s">
        <v>14</v>
      </c>
      <c r="F904" s="38">
        <v>9</v>
      </c>
      <c r="G904" s="28" t="s">
        <v>91</v>
      </c>
      <c r="H904" s="28" t="s">
        <v>16</v>
      </c>
      <c r="I904" s="28" t="s">
        <v>16</v>
      </c>
      <c r="J904" s="28" t="s">
        <v>16</v>
      </c>
      <c r="K904" s="28" t="s">
        <v>83</v>
      </c>
      <c r="L904" s="29">
        <f t="shared" si="24"/>
        <v>124.74</v>
      </c>
    </row>
    <row r="905" spans="2:12" x14ac:dyDescent="0.25">
      <c r="B905" s="27" t="s">
        <v>116</v>
      </c>
      <c r="C905" s="28" t="s">
        <v>43</v>
      </c>
      <c r="D905" s="28">
        <v>2025</v>
      </c>
      <c r="E905" s="28" t="s">
        <v>15</v>
      </c>
      <c r="F905" s="38">
        <v>25</v>
      </c>
      <c r="G905" s="28" t="s">
        <v>99</v>
      </c>
      <c r="H905" s="28" t="s">
        <v>16</v>
      </c>
      <c r="I905" s="28" t="s">
        <v>16</v>
      </c>
      <c r="J905" s="28" t="s">
        <v>16</v>
      </c>
      <c r="K905" s="28" t="s">
        <v>79</v>
      </c>
      <c r="L905" s="29">
        <f t="shared" si="24"/>
        <v>346.5</v>
      </c>
    </row>
    <row r="906" spans="2:12" x14ac:dyDescent="0.25">
      <c r="B906" s="27" t="s">
        <v>116</v>
      </c>
      <c r="C906" s="28" t="s">
        <v>43</v>
      </c>
      <c r="D906" s="28">
        <v>2025</v>
      </c>
      <c r="E906" s="28" t="s">
        <v>14</v>
      </c>
      <c r="F906" s="38">
        <v>2</v>
      </c>
      <c r="G906" s="28" t="s">
        <v>87</v>
      </c>
      <c r="H906" s="28" t="s">
        <v>16</v>
      </c>
      <c r="I906" s="28" t="s">
        <v>16</v>
      </c>
      <c r="J906" s="28" t="s">
        <v>16</v>
      </c>
      <c r="K906" s="28" t="s">
        <v>79</v>
      </c>
      <c r="L906" s="29">
        <f t="shared" si="24"/>
        <v>27.72</v>
      </c>
    </row>
    <row r="937" spans="14:14" x14ac:dyDescent="0.25">
      <c r="N937" s="16"/>
    </row>
  </sheetData>
  <sheetProtection algorithmName="SHA-512" hashValue="ORgCc8fuCA6BQSeIW7byKDhmTV2SeDGXZIfxZ7L6tIhdDopmNL7+VeSUDWIxumcpcz9dGrMRXnRtcDvX2BYBWg==" saltValue="w+/YDzsmmnMtot3te2eP7w==" spinCount="100000" sheet="1" scenarios="1" autoFilter="0"/>
  <dataConsolidate/>
  <phoneticPr fontId="8" type="noConversion"/>
  <dataValidations count="1">
    <dataValidation type="list" allowBlank="1" showInputMessage="1" showErrorMessage="1" sqref="E3:E355" xr:uid="{4445BFAD-4DA2-43F0-8774-20DA6E87AB6B}">
      <formula1>"Cobrar,Reposição"</formula1>
    </dataValidation>
  </dataValidations>
  <pageMargins left="0.7" right="0.7" top="0.75" bottom="0.75" header="0.3" footer="0.3"/>
  <pageSetup paperSize="9" orientation="portrait" r:id="rId1"/>
  <headerFooter>
    <oddFooter>&amp;R&amp;1#&amp;"Calibri"&amp;8&amp;K737373General</oddFooter>
  </headerFooter>
  <ignoredErrors>
    <ignoredError sqref="L3:L4 L674:L676 L5:L53 L55:L672" calculatedColumn="1"/>
  </ignoredErrors>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699382E-0D73-4EA9-8347-32E112F62A6D}">
          <x14:formula1>
            <xm:f>Sheet2!$C$2:$C$29</xm:f>
          </x14:formula1>
          <xm:sqref>G715 G736 G742:G746 G756:G757 G759:G760 G764:G767 G769:G771 G773 G787:G788 G790:G791 G796:G797 G813:G814 G828:G833 G846:G848 G850:G852 G738 G729:G732 G794 G803:G807 G818:G820 G842:G844 G890:G891 G864 G754 G762 G775:G778 G825 G717:G727 G734 G867 G780:G781 G783 G748 G888 G871:G876 G3:G711 G740 G894</xm:sqref>
        </x14:dataValidation>
        <x14:dataValidation type="list" allowBlank="1" showInputMessage="1" showErrorMessage="1" xr:uid="{6AD99347-F39C-4C1B-BBA9-D50B8E1A990F}">
          <x14:formula1>
            <xm:f>Sheet2!$A$1:$A$2</xm:f>
          </x14:formula1>
          <xm:sqref>E356:E597 E612:E709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0B20A-7CEA-42DE-8140-A4815A1C807B}">
  <sheetPr codeName="Sheet3"/>
  <dimension ref="A1:M30"/>
  <sheetViews>
    <sheetView topLeftCell="A16" workbookViewId="0">
      <selection activeCell="C32" sqref="C32"/>
    </sheetView>
  </sheetViews>
  <sheetFormatPr defaultRowHeight="15" x14ac:dyDescent="0.25"/>
  <cols>
    <col min="1" max="1" width="10" bestFit="1" customWidth="1"/>
    <col min="3" max="3" width="21" bestFit="1" customWidth="1"/>
    <col min="4" max="4" width="12.7109375" bestFit="1" customWidth="1"/>
    <col min="5" max="5" width="12.28515625" bestFit="1" customWidth="1"/>
    <col min="7" max="7" width="23.140625" bestFit="1" customWidth="1"/>
  </cols>
  <sheetData>
    <row r="1" spans="1:13" ht="15.75" x14ac:dyDescent="0.25">
      <c r="A1" t="s">
        <v>14</v>
      </c>
      <c r="C1" s="1" t="s">
        <v>3</v>
      </c>
      <c r="D1" s="1" t="s">
        <v>18</v>
      </c>
      <c r="E1" s="1" t="s">
        <v>19</v>
      </c>
      <c r="G1" t="s">
        <v>30</v>
      </c>
      <c r="I1" t="s">
        <v>31</v>
      </c>
    </row>
    <row r="2" spans="1:13" x14ac:dyDescent="0.25">
      <c r="A2" t="s">
        <v>15</v>
      </c>
      <c r="C2" s="19" t="s">
        <v>84</v>
      </c>
      <c r="D2" s="18">
        <v>5265211</v>
      </c>
      <c r="E2" s="2" t="s">
        <v>64</v>
      </c>
      <c r="G2" t="s">
        <v>73</v>
      </c>
      <c r="I2" t="s">
        <v>33</v>
      </c>
    </row>
    <row r="3" spans="1:13" x14ac:dyDescent="0.25">
      <c r="C3" s="19" t="s">
        <v>85</v>
      </c>
      <c r="D3" s="18">
        <v>5171874</v>
      </c>
      <c r="E3" s="41" t="s">
        <v>67</v>
      </c>
      <c r="G3" t="s">
        <v>74</v>
      </c>
      <c r="I3" t="s">
        <v>35</v>
      </c>
    </row>
    <row r="4" spans="1:13" x14ac:dyDescent="0.25">
      <c r="C4" t="s">
        <v>86</v>
      </c>
      <c r="D4" s="2">
        <v>5151531</v>
      </c>
      <c r="E4" s="2" t="s">
        <v>20</v>
      </c>
      <c r="G4" t="s">
        <v>75</v>
      </c>
      <c r="I4" t="s">
        <v>36</v>
      </c>
    </row>
    <row r="5" spans="1:13" x14ac:dyDescent="0.25">
      <c r="C5" s="19" t="s">
        <v>87</v>
      </c>
      <c r="D5" s="42">
        <v>5265296</v>
      </c>
      <c r="E5" t="s">
        <v>63</v>
      </c>
      <c r="G5" t="s">
        <v>76</v>
      </c>
      <c r="I5" t="s">
        <v>37</v>
      </c>
    </row>
    <row r="6" spans="1:13" x14ac:dyDescent="0.25">
      <c r="C6" t="s">
        <v>88</v>
      </c>
      <c r="D6">
        <v>5169358</v>
      </c>
      <c r="G6" t="s">
        <v>77</v>
      </c>
      <c r="I6" t="s">
        <v>38</v>
      </c>
    </row>
    <row r="7" spans="1:13" x14ac:dyDescent="0.25">
      <c r="C7" t="s">
        <v>89</v>
      </c>
      <c r="D7">
        <v>5169407</v>
      </c>
      <c r="G7" t="s">
        <v>78</v>
      </c>
      <c r="I7" t="s">
        <v>39</v>
      </c>
    </row>
    <row r="8" spans="1:13" x14ac:dyDescent="0.25">
      <c r="C8" t="s">
        <v>90</v>
      </c>
      <c r="D8">
        <v>5035495</v>
      </c>
      <c r="E8" s="2" t="s">
        <v>21</v>
      </c>
      <c r="G8" t="s">
        <v>79</v>
      </c>
      <c r="I8" t="s">
        <v>40</v>
      </c>
    </row>
    <row r="9" spans="1:13" x14ac:dyDescent="0.25">
      <c r="C9" s="19" t="s">
        <v>91</v>
      </c>
      <c r="D9" s="18">
        <v>5265242</v>
      </c>
      <c r="E9" s="2" t="s">
        <v>61</v>
      </c>
      <c r="G9" t="s">
        <v>80</v>
      </c>
      <c r="I9" t="s">
        <v>41</v>
      </c>
    </row>
    <row r="10" spans="1:13" x14ac:dyDescent="0.25">
      <c r="C10" s="19" t="s">
        <v>92</v>
      </c>
      <c r="D10" s="18">
        <v>5258331</v>
      </c>
      <c r="E10" t="s">
        <v>62</v>
      </c>
      <c r="G10" t="s">
        <v>81</v>
      </c>
      <c r="I10" t="s">
        <v>42</v>
      </c>
    </row>
    <row r="11" spans="1:13" x14ac:dyDescent="0.25">
      <c r="C11" t="s">
        <v>93</v>
      </c>
      <c r="D11">
        <v>5076461</v>
      </c>
      <c r="E11" s="2" t="s">
        <v>22</v>
      </c>
      <c r="G11" t="s">
        <v>82</v>
      </c>
      <c r="I11" t="s">
        <v>43</v>
      </c>
    </row>
    <row r="12" spans="1:13" x14ac:dyDescent="0.25">
      <c r="C12" s="19" t="s">
        <v>94</v>
      </c>
      <c r="D12" s="18">
        <v>5265200</v>
      </c>
      <c r="E12" t="s">
        <v>60</v>
      </c>
      <c r="G12" t="s">
        <v>83</v>
      </c>
      <c r="I12" t="s">
        <v>44</v>
      </c>
    </row>
    <row r="13" spans="1:13" x14ac:dyDescent="0.25">
      <c r="C13" t="s">
        <v>95</v>
      </c>
      <c r="D13">
        <v>5146083</v>
      </c>
      <c r="E13" s="2" t="s">
        <v>23</v>
      </c>
      <c r="I13" t="s">
        <v>45</v>
      </c>
      <c r="M13" s="46"/>
    </row>
    <row r="14" spans="1:13" x14ac:dyDescent="0.25">
      <c r="C14" s="19" t="s">
        <v>96</v>
      </c>
      <c r="D14" s="43">
        <v>5265298</v>
      </c>
      <c r="E14" s="2" t="s">
        <v>55</v>
      </c>
      <c r="J14" s="17"/>
    </row>
    <row r="15" spans="1:13" x14ac:dyDescent="0.25">
      <c r="C15" s="19" t="s">
        <v>97</v>
      </c>
      <c r="D15" s="42" t="s">
        <v>49</v>
      </c>
      <c r="E15" s="2" t="s">
        <v>56</v>
      </c>
      <c r="G15" t="s">
        <v>34</v>
      </c>
      <c r="J15" s="17"/>
    </row>
    <row r="16" spans="1:13" x14ac:dyDescent="0.25">
      <c r="C16" s="19" t="s">
        <v>98</v>
      </c>
      <c r="D16" s="18">
        <v>5265247</v>
      </c>
      <c r="E16" s="2" t="s">
        <v>57</v>
      </c>
      <c r="G16" t="s">
        <v>15</v>
      </c>
      <c r="J16" s="17"/>
    </row>
    <row r="17" spans="3:10" x14ac:dyDescent="0.25">
      <c r="C17" s="19" t="s">
        <v>99</v>
      </c>
      <c r="D17" s="18">
        <v>5265213</v>
      </c>
      <c r="E17" s="2" t="s">
        <v>58</v>
      </c>
      <c r="G17" t="s">
        <v>14</v>
      </c>
      <c r="J17" s="17"/>
    </row>
    <row r="18" spans="3:10" x14ac:dyDescent="0.25">
      <c r="C18" s="19" t="s">
        <v>100</v>
      </c>
      <c r="D18" s="18">
        <v>5265320</v>
      </c>
      <c r="E18" t="s">
        <v>59</v>
      </c>
      <c r="J18" s="17"/>
    </row>
    <row r="19" spans="3:10" x14ac:dyDescent="0.25">
      <c r="C19" t="s">
        <v>101</v>
      </c>
      <c r="D19">
        <v>5051136</v>
      </c>
      <c r="E19" t="s">
        <v>24</v>
      </c>
      <c r="J19" s="17"/>
    </row>
    <row r="20" spans="3:10" x14ac:dyDescent="0.25">
      <c r="C20" t="s">
        <v>102</v>
      </c>
      <c r="D20">
        <v>5171847</v>
      </c>
      <c r="E20" t="s">
        <v>28</v>
      </c>
      <c r="J20" s="17"/>
    </row>
    <row r="21" spans="3:10" x14ac:dyDescent="0.25">
      <c r="C21" t="s">
        <v>103</v>
      </c>
      <c r="D21">
        <v>5169413</v>
      </c>
      <c r="E21" s="2"/>
      <c r="J21" s="17"/>
    </row>
    <row r="22" spans="3:10" x14ac:dyDescent="0.25">
      <c r="C22" s="19" t="s">
        <v>104</v>
      </c>
      <c r="D22" s="18">
        <v>5265241</v>
      </c>
      <c r="E22" t="s">
        <v>54</v>
      </c>
      <c r="J22" s="17"/>
    </row>
    <row r="23" spans="3:10" x14ac:dyDescent="0.25">
      <c r="C23" t="s">
        <v>105</v>
      </c>
      <c r="D23">
        <v>5037932</v>
      </c>
      <c r="E23" t="s">
        <v>25</v>
      </c>
      <c r="J23" s="17"/>
    </row>
    <row r="24" spans="3:10" x14ac:dyDescent="0.25">
      <c r="C24" t="s">
        <v>106</v>
      </c>
      <c r="D24">
        <v>5035937</v>
      </c>
      <c r="E24" s="2" t="s">
        <v>26</v>
      </c>
      <c r="J24" s="17"/>
    </row>
    <row r="25" spans="3:10" x14ac:dyDescent="0.25">
      <c r="C25" s="19" t="s">
        <v>107</v>
      </c>
      <c r="D25" s="18">
        <v>5265256</v>
      </c>
      <c r="E25" t="s">
        <v>53</v>
      </c>
      <c r="J25" s="17"/>
    </row>
    <row r="26" spans="3:10" x14ac:dyDescent="0.25">
      <c r="C26" t="s">
        <v>108</v>
      </c>
      <c r="D26">
        <v>5137385</v>
      </c>
      <c r="E26" s="2" t="s">
        <v>27</v>
      </c>
      <c r="J26" s="17"/>
    </row>
    <row r="27" spans="3:10" x14ac:dyDescent="0.25">
      <c r="C27" s="19" t="s">
        <v>109</v>
      </c>
      <c r="D27" s="18">
        <v>5265209</v>
      </c>
      <c r="E27" s="2" t="s">
        <v>50</v>
      </c>
      <c r="J27" s="17"/>
    </row>
    <row r="28" spans="3:10" x14ac:dyDescent="0.25">
      <c r="C28" s="19" t="s">
        <v>110</v>
      </c>
      <c r="D28" s="18">
        <v>5265245</v>
      </c>
      <c r="E28" s="2" t="s">
        <v>51</v>
      </c>
      <c r="J28" s="17"/>
    </row>
    <row r="29" spans="3:10" x14ac:dyDescent="0.25">
      <c r="C29" s="19" t="s">
        <v>111</v>
      </c>
      <c r="D29" s="18">
        <v>5265251</v>
      </c>
      <c r="E29" t="s">
        <v>52</v>
      </c>
    </row>
    <row r="30" spans="3:10" x14ac:dyDescent="0.25">
      <c r="C30" t="s">
        <v>112</v>
      </c>
      <c r="D30">
        <v>5128908</v>
      </c>
      <c r="E30" t="s">
        <v>29</v>
      </c>
    </row>
  </sheetData>
  <phoneticPr fontId="8" type="noConversion"/>
  <pageMargins left="0.7" right="0.7" top="0.75" bottom="0.75" header="0.3" footer="0.3"/>
  <pageSetup paperSize="9" orientation="portrait" r:id="rId1"/>
  <headerFooter>
    <oddFooter>&amp;R&amp;1#&amp;"Calibri"&amp;8&amp;K737373General</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D7A86-2A55-43EF-87D3-CB0F518363E3}">
  <sheetPr codeName="Sheet5"/>
  <dimension ref="A2:Z119"/>
  <sheetViews>
    <sheetView zoomScale="55" zoomScaleNormal="55" workbookViewId="0">
      <selection activeCell="A30" sqref="A30"/>
    </sheetView>
  </sheetViews>
  <sheetFormatPr defaultRowHeight="15" x14ac:dyDescent="0.25"/>
  <cols>
    <col min="1" max="1" width="26.140625" bestFit="1" customWidth="1"/>
    <col min="2" max="2" width="24.85546875" bestFit="1" customWidth="1"/>
    <col min="3" max="3" width="11.42578125" bestFit="1" customWidth="1"/>
    <col min="4" max="4" width="16" bestFit="1" customWidth="1"/>
    <col min="5" max="5" width="20.85546875" bestFit="1" customWidth="1"/>
    <col min="6" max="6" width="24.85546875" bestFit="1" customWidth="1"/>
    <col min="7" max="9" width="17.85546875" bestFit="1" customWidth="1"/>
    <col min="10" max="10" width="17.42578125" bestFit="1" customWidth="1"/>
    <col min="11" max="11" width="16.85546875" bestFit="1" customWidth="1"/>
    <col min="12" max="12" width="11" bestFit="1" customWidth="1"/>
    <col min="13" max="13" width="17.85546875" bestFit="1" customWidth="1"/>
    <col min="14" max="14" width="19.42578125" bestFit="1" customWidth="1"/>
    <col min="15" max="15" width="24.85546875" bestFit="1" customWidth="1"/>
    <col min="16" max="16" width="9" bestFit="1" customWidth="1"/>
    <col min="17" max="17" width="10" bestFit="1" customWidth="1"/>
    <col min="18" max="18" width="9" bestFit="1" customWidth="1"/>
    <col min="19" max="19" width="26.140625" bestFit="1" customWidth="1"/>
    <col min="20" max="20" width="17.85546875" bestFit="1" customWidth="1"/>
    <col min="21" max="22" width="10" bestFit="1" customWidth="1"/>
    <col min="23" max="23" width="17.85546875" bestFit="1" customWidth="1"/>
    <col min="24" max="24" width="9" bestFit="1" customWidth="1"/>
    <col min="25" max="25" width="26.140625" bestFit="1" customWidth="1"/>
    <col min="26" max="26" width="28.42578125" bestFit="1" customWidth="1"/>
    <col min="27" max="29" width="10" bestFit="1" customWidth="1"/>
    <col min="30" max="30" width="9" bestFit="1" customWidth="1"/>
    <col min="31" max="32" width="10" bestFit="1" customWidth="1"/>
    <col min="33" max="35" width="9" bestFit="1" customWidth="1"/>
    <col min="36" max="36" width="10" bestFit="1" customWidth="1"/>
    <col min="37" max="38" width="9" bestFit="1" customWidth="1"/>
    <col min="39" max="59" width="10" bestFit="1" customWidth="1"/>
    <col min="60" max="60" width="11.42578125" bestFit="1" customWidth="1"/>
    <col min="61" max="61" width="10" bestFit="1" customWidth="1"/>
    <col min="62" max="62" width="11.42578125" bestFit="1" customWidth="1"/>
    <col min="63" max="64" width="10" bestFit="1" customWidth="1"/>
    <col min="65" max="65" width="11.42578125" bestFit="1" customWidth="1"/>
    <col min="66" max="66" width="10" bestFit="1" customWidth="1"/>
  </cols>
  <sheetData>
    <row r="2" spans="1:26" x14ac:dyDescent="0.25">
      <c r="A2" s="31" t="s">
        <v>68</v>
      </c>
      <c r="B2" t="s">
        <v>46</v>
      </c>
      <c r="F2" t="s">
        <v>46</v>
      </c>
      <c r="I2" t="s">
        <v>17</v>
      </c>
    </row>
    <row r="3" spans="1:26" x14ac:dyDescent="0.25">
      <c r="A3" s="26" t="s">
        <v>15</v>
      </c>
      <c r="B3">
        <v>4435</v>
      </c>
      <c r="F3">
        <v>10965</v>
      </c>
      <c r="I3" s="39">
        <v>119643.41999999995</v>
      </c>
      <c r="M3" s="31" t="s">
        <v>68</v>
      </c>
      <c r="N3" t="s">
        <v>17</v>
      </c>
    </row>
    <row r="4" spans="1:26" x14ac:dyDescent="0.25">
      <c r="M4" s="26" t="s">
        <v>15</v>
      </c>
      <c r="N4" s="16">
        <v>54736.079999999885</v>
      </c>
      <c r="Y4" s="31" t="s">
        <v>68</v>
      </c>
      <c r="Z4" t="s">
        <v>47</v>
      </c>
    </row>
    <row r="5" spans="1:26" x14ac:dyDescent="0.25">
      <c r="Y5" s="26" t="s">
        <v>78</v>
      </c>
      <c r="Z5">
        <v>185</v>
      </c>
    </row>
    <row r="6" spans="1:26" x14ac:dyDescent="0.25">
      <c r="S6" s="31" t="s">
        <v>68</v>
      </c>
      <c r="T6" t="s">
        <v>17</v>
      </c>
      <c r="Y6" s="26" t="s">
        <v>75</v>
      </c>
      <c r="Z6">
        <v>178</v>
      </c>
    </row>
    <row r="7" spans="1:26" x14ac:dyDescent="0.25">
      <c r="S7" s="26" t="s">
        <v>14</v>
      </c>
      <c r="T7" s="16">
        <v>65406.299999999661</v>
      </c>
      <c r="Y7" s="26" t="s">
        <v>76</v>
      </c>
      <c r="Z7">
        <v>170</v>
      </c>
    </row>
    <row r="8" spans="1:26" x14ac:dyDescent="0.25">
      <c r="Y8" s="26" t="s">
        <v>79</v>
      </c>
      <c r="Z8">
        <v>143</v>
      </c>
    </row>
    <row r="9" spans="1:26" x14ac:dyDescent="0.25">
      <c r="A9" s="31" t="s">
        <v>68</v>
      </c>
      <c r="B9" t="s">
        <v>46</v>
      </c>
      <c r="Y9" s="26" t="s">
        <v>83</v>
      </c>
      <c r="Z9">
        <v>92</v>
      </c>
    </row>
    <row r="10" spans="1:26" x14ac:dyDescent="0.25">
      <c r="A10" s="26" t="s">
        <v>14</v>
      </c>
      <c r="B10">
        <v>6566</v>
      </c>
      <c r="Y10" s="26" t="s">
        <v>71</v>
      </c>
      <c r="Z10">
        <v>768</v>
      </c>
    </row>
    <row r="12" spans="1:26" x14ac:dyDescent="0.25">
      <c r="G12" s="32"/>
      <c r="M12" s="31" t="s">
        <v>68</v>
      </c>
      <c r="N12" t="s">
        <v>17</v>
      </c>
    </row>
    <row r="13" spans="1:26" x14ac:dyDescent="0.25">
      <c r="M13" s="26" t="s">
        <v>65</v>
      </c>
      <c r="N13" s="39">
        <v>-498.96</v>
      </c>
    </row>
    <row r="14" spans="1:26" x14ac:dyDescent="0.25">
      <c r="A14" s="31" t="s">
        <v>68</v>
      </c>
      <c r="B14" t="s">
        <v>46</v>
      </c>
    </row>
    <row r="15" spans="1:26" x14ac:dyDescent="0.25">
      <c r="A15" s="26" t="s">
        <v>65</v>
      </c>
      <c r="B15">
        <v>-36</v>
      </c>
    </row>
    <row r="27" spans="1:8" x14ac:dyDescent="0.25">
      <c r="A27" s="31" t="s">
        <v>68</v>
      </c>
      <c r="B27" t="s">
        <v>46</v>
      </c>
    </row>
    <row r="28" spans="1:8" x14ac:dyDescent="0.25">
      <c r="A28" s="26" t="s">
        <v>99</v>
      </c>
      <c r="B28">
        <v>408</v>
      </c>
    </row>
    <row r="29" spans="1:8" x14ac:dyDescent="0.25">
      <c r="A29" s="26" t="s">
        <v>97</v>
      </c>
      <c r="B29">
        <v>410</v>
      </c>
    </row>
    <row r="30" spans="1:8" x14ac:dyDescent="0.25">
      <c r="A30" s="26" t="s">
        <v>110</v>
      </c>
      <c r="B30">
        <v>472</v>
      </c>
      <c r="G30" s="31" t="s">
        <v>68</v>
      </c>
      <c r="H30" t="s">
        <v>17</v>
      </c>
    </row>
    <row r="31" spans="1:8" x14ac:dyDescent="0.25">
      <c r="A31" s="26" t="s">
        <v>94</v>
      </c>
      <c r="B31">
        <v>731</v>
      </c>
      <c r="G31" s="26" t="s">
        <v>92</v>
      </c>
      <c r="H31" s="39">
        <v>4213.4399999999996</v>
      </c>
    </row>
    <row r="32" spans="1:8" x14ac:dyDescent="0.25">
      <c r="A32" s="26" t="s">
        <v>108</v>
      </c>
      <c r="B32">
        <v>808</v>
      </c>
      <c r="G32" s="26" t="s">
        <v>103</v>
      </c>
      <c r="H32" s="39">
        <v>4740.1200000000008</v>
      </c>
    </row>
    <row r="33" spans="1:15" x14ac:dyDescent="0.25">
      <c r="A33" s="26" t="s">
        <v>101</v>
      </c>
      <c r="B33">
        <v>861</v>
      </c>
      <c r="G33" s="26" t="s">
        <v>110</v>
      </c>
      <c r="H33" s="39">
        <v>6541.9199999999992</v>
      </c>
    </row>
    <row r="34" spans="1:15" x14ac:dyDescent="0.25">
      <c r="A34" s="26" t="s">
        <v>111</v>
      </c>
      <c r="B34">
        <v>1109</v>
      </c>
      <c r="G34" s="26" t="s">
        <v>94</v>
      </c>
      <c r="H34" s="39">
        <v>7431.699999999998</v>
      </c>
    </row>
    <row r="35" spans="1:15" x14ac:dyDescent="0.25">
      <c r="A35" s="26" t="s">
        <v>93</v>
      </c>
      <c r="B35">
        <v>4043</v>
      </c>
      <c r="G35" s="26" t="s">
        <v>108</v>
      </c>
      <c r="H35" s="39">
        <v>9048.0700000000015</v>
      </c>
      <c r="N35" s="31" t="s">
        <v>68</v>
      </c>
      <c r="O35" t="s">
        <v>46</v>
      </c>
    </row>
    <row r="36" spans="1:15" x14ac:dyDescent="0.25">
      <c r="G36" s="26" t="s">
        <v>111</v>
      </c>
      <c r="H36" s="39">
        <v>11560.780000000004</v>
      </c>
      <c r="N36" s="26" t="s">
        <v>14</v>
      </c>
      <c r="O36">
        <v>6566</v>
      </c>
    </row>
    <row r="37" spans="1:15" x14ac:dyDescent="0.25">
      <c r="G37" s="26" t="s">
        <v>101</v>
      </c>
      <c r="H37" s="39">
        <v>11933.460000000001</v>
      </c>
      <c r="N37" s="26" t="s">
        <v>15</v>
      </c>
      <c r="O37">
        <v>4435</v>
      </c>
    </row>
    <row r="38" spans="1:15" x14ac:dyDescent="0.25">
      <c r="G38" s="26" t="s">
        <v>93</v>
      </c>
      <c r="H38" s="39">
        <v>38954.490000000071</v>
      </c>
      <c r="N38" s="26" t="s">
        <v>71</v>
      </c>
      <c r="O38">
        <v>11001</v>
      </c>
    </row>
    <row r="39" spans="1:15" x14ac:dyDescent="0.25">
      <c r="L39" s="32"/>
    </row>
    <row r="55" spans="1:14" x14ac:dyDescent="0.25">
      <c r="A55" s="31" t="s">
        <v>32</v>
      </c>
      <c r="B55" t="s">
        <v>70</v>
      </c>
    </row>
    <row r="57" spans="1:14" x14ac:dyDescent="0.25">
      <c r="A57" s="31" t="s">
        <v>17</v>
      </c>
      <c r="B57" s="31" t="s">
        <v>69</v>
      </c>
      <c r="F57" s="31" t="s">
        <v>32</v>
      </c>
      <c r="G57" t="s">
        <v>70</v>
      </c>
      <c r="L57" s="31" t="s">
        <v>31</v>
      </c>
      <c r="M57" t="s">
        <v>17</v>
      </c>
      <c r="N57" t="s">
        <v>48</v>
      </c>
    </row>
    <row r="58" spans="1:14" x14ac:dyDescent="0.25">
      <c r="A58" s="31" t="s">
        <v>68</v>
      </c>
      <c r="B58" t="s">
        <v>14</v>
      </c>
      <c r="L58" t="s">
        <v>33</v>
      </c>
      <c r="M58" s="39">
        <v>5719.04</v>
      </c>
      <c r="N58" s="39">
        <v>5719.04</v>
      </c>
    </row>
    <row r="59" spans="1:14" x14ac:dyDescent="0.25">
      <c r="A59" s="26" t="s">
        <v>33</v>
      </c>
      <c r="B59" s="16">
        <v>4386.0400000000009</v>
      </c>
      <c r="F59" s="31" t="s">
        <v>68</v>
      </c>
      <c r="G59" t="s">
        <v>46</v>
      </c>
      <c r="L59" t="s">
        <v>35</v>
      </c>
      <c r="M59" s="39">
        <v>8158.8099999999968</v>
      </c>
      <c r="N59" s="39">
        <v>8158.8099999999968</v>
      </c>
    </row>
    <row r="60" spans="1:14" x14ac:dyDescent="0.25">
      <c r="A60" s="26" t="s">
        <v>35</v>
      </c>
      <c r="B60" s="16">
        <v>7309.340000000002</v>
      </c>
      <c r="F60" s="26" t="s">
        <v>33</v>
      </c>
      <c r="G60">
        <v>640</v>
      </c>
      <c r="L60" t="s">
        <v>36</v>
      </c>
      <c r="M60" s="39">
        <v>10081.529999999997</v>
      </c>
      <c r="N60" s="39">
        <v>10081.529999999997</v>
      </c>
    </row>
    <row r="61" spans="1:14" x14ac:dyDescent="0.25">
      <c r="A61" s="26" t="s">
        <v>36</v>
      </c>
      <c r="B61" s="16">
        <v>7763.9400000000005</v>
      </c>
      <c r="F61" s="26" t="s">
        <v>35</v>
      </c>
      <c r="G61">
        <v>913</v>
      </c>
      <c r="L61" t="s">
        <v>37</v>
      </c>
      <c r="M61" s="39">
        <v>7238.4299999999994</v>
      </c>
      <c r="N61" s="39">
        <v>7238.4299999999994</v>
      </c>
    </row>
    <row r="62" spans="1:14" x14ac:dyDescent="0.25">
      <c r="A62" s="26" t="s">
        <v>37</v>
      </c>
      <c r="B62" s="16">
        <v>4648.95</v>
      </c>
      <c r="F62" s="26" t="s">
        <v>36</v>
      </c>
      <c r="G62">
        <v>959</v>
      </c>
      <c r="L62" t="s">
        <v>38</v>
      </c>
      <c r="M62" s="39">
        <v>14690.160000000005</v>
      </c>
      <c r="N62" s="39">
        <v>14690.160000000005</v>
      </c>
    </row>
    <row r="63" spans="1:14" x14ac:dyDescent="0.25">
      <c r="A63" s="26" t="s">
        <v>38</v>
      </c>
      <c r="B63" s="16">
        <v>7463.8800000000037</v>
      </c>
      <c r="F63" s="26" t="s">
        <v>37</v>
      </c>
      <c r="G63">
        <v>705</v>
      </c>
      <c r="L63" t="s">
        <v>39</v>
      </c>
      <c r="M63" s="39">
        <v>14859.990000000007</v>
      </c>
      <c r="N63" s="39">
        <v>14859.990000000007</v>
      </c>
    </row>
    <row r="64" spans="1:14" x14ac:dyDescent="0.25">
      <c r="A64" s="26" t="s">
        <v>39</v>
      </c>
      <c r="B64" s="16">
        <v>6003.8100000000013</v>
      </c>
      <c r="F64" s="26" t="s">
        <v>38</v>
      </c>
      <c r="G64">
        <v>1307</v>
      </c>
      <c r="L64" t="s">
        <v>40</v>
      </c>
      <c r="M64" s="39">
        <v>12825.630000000005</v>
      </c>
      <c r="N64" s="39">
        <v>12825.630000000005</v>
      </c>
    </row>
    <row r="65" spans="1:14" x14ac:dyDescent="0.25">
      <c r="A65" s="26" t="s">
        <v>40</v>
      </c>
      <c r="B65" s="16">
        <v>3330.72</v>
      </c>
      <c r="F65" s="26" t="s">
        <v>39</v>
      </c>
      <c r="G65">
        <v>1290</v>
      </c>
      <c r="L65" t="s">
        <v>41</v>
      </c>
      <c r="M65" s="39">
        <v>13307.130000000001</v>
      </c>
      <c r="N65" s="39">
        <v>13307.130000000001</v>
      </c>
    </row>
    <row r="66" spans="1:14" x14ac:dyDescent="0.25">
      <c r="A66" s="26" t="s">
        <v>41</v>
      </c>
      <c r="B66" s="16">
        <v>6155.1900000000005</v>
      </c>
      <c r="F66" s="26" t="s">
        <v>40</v>
      </c>
      <c r="G66">
        <v>1062</v>
      </c>
      <c r="L66" t="s">
        <v>42</v>
      </c>
      <c r="M66" s="39">
        <v>15633.720000000007</v>
      </c>
      <c r="N66" s="39">
        <v>15633.720000000007</v>
      </c>
    </row>
    <row r="67" spans="1:14" x14ac:dyDescent="0.25">
      <c r="A67" s="26" t="s">
        <v>42</v>
      </c>
      <c r="B67" s="16">
        <v>7354.4400000000014</v>
      </c>
      <c r="F67" s="26" t="s">
        <v>41</v>
      </c>
      <c r="G67">
        <v>1158</v>
      </c>
      <c r="L67" t="s">
        <v>43</v>
      </c>
      <c r="M67" s="39">
        <v>9729.7199999999993</v>
      </c>
      <c r="N67" s="39">
        <v>9729.7199999999993</v>
      </c>
    </row>
    <row r="68" spans="1:14" x14ac:dyDescent="0.25">
      <c r="A68" s="26" t="s">
        <v>43</v>
      </c>
      <c r="B68" s="16">
        <v>6599.5200000000013</v>
      </c>
      <c r="F68" s="26" t="s">
        <v>42</v>
      </c>
      <c r="G68">
        <v>1256</v>
      </c>
      <c r="L68" t="s">
        <v>44</v>
      </c>
      <c r="M68" s="39">
        <v>3590.5499999999997</v>
      </c>
      <c r="N68" s="39">
        <v>3590.5499999999997</v>
      </c>
    </row>
    <row r="69" spans="1:14" x14ac:dyDescent="0.25">
      <c r="A69" s="26" t="s">
        <v>44</v>
      </c>
      <c r="B69" s="16">
        <v>2545.1999999999998</v>
      </c>
      <c r="F69" s="26" t="s">
        <v>43</v>
      </c>
      <c r="G69">
        <v>861</v>
      </c>
      <c r="L69" t="s">
        <v>45</v>
      </c>
      <c r="M69" s="39">
        <v>3808.71</v>
      </c>
      <c r="N69" s="39">
        <v>3808.71</v>
      </c>
    </row>
    <row r="70" spans="1:14" x14ac:dyDescent="0.25">
      <c r="A70" s="26" t="s">
        <v>45</v>
      </c>
      <c r="B70" s="16">
        <v>1845.2699999999995</v>
      </c>
      <c r="F70" s="26" t="s">
        <v>44</v>
      </c>
      <c r="G70">
        <v>395</v>
      </c>
    </row>
    <row r="71" spans="1:14" x14ac:dyDescent="0.25">
      <c r="F71" s="26" t="s">
        <v>45</v>
      </c>
      <c r="G71">
        <v>419</v>
      </c>
    </row>
    <row r="88" spans="14:26" x14ac:dyDescent="0.25">
      <c r="N88" s="31" t="s">
        <v>32</v>
      </c>
      <c r="O88" t="s">
        <v>70</v>
      </c>
    </row>
    <row r="90" spans="14:26" x14ac:dyDescent="0.25">
      <c r="N90" s="31" t="s">
        <v>17</v>
      </c>
      <c r="O90" s="31" t="s">
        <v>69</v>
      </c>
    </row>
    <row r="91" spans="14:26" x14ac:dyDescent="0.25">
      <c r="N91" s="31" t="s">
        <v>68</v>
      </c>
      <c r="O91" t="s">
        <v>15</v>
      </c>
    </row>
    <row r="92" spans="14:26" x14ac:dyDescent="0.25">
      <c r="N92" s="26" t="s">
        <v>33</v>
      </c>
      <c r="O92" s="16">
        <v>1332.9999999999998</v>
      </c>
    </row>
    <row r="93" spans="14:26" x14ac:dyDescent="0.25">
      <c r="N93" s="26" t="s">
        <v>35</v>
      </c>
      <c r="O93" s="16">
        <v>849.47000000000014</v>
      </c>
    </row>
    <row r="94" spans="14:26" x14ac:dyDescent="0.25">
      <c r="N94" s="26" t="s">
        <v>36</v>
      </c>
      <c r="O94" s="16">
        <v>2317.5899999999997</v>
      </c>
      <c r="Y94" s="31" t="s">
        <v>32</v>
      </c>
      <c r="Z94" t="s">
        <v>70</v>
      </c>
    </row>
    <row r="95" spans="14:26" x14ac:dyDescent="0.25">
      <c r="N95" s="26" t="s">
        <v>37</v>
      </c>
      <c r="O95" s="16">
        <v>2589.4799999999996</v>
      </c>
    </row>
    <row r="96" spans="14:26" x14ac:dyDescent="0.25">
      <c r="N96" s="26" t="s">
        <v>38</v>
      </c>
      <c r="O96" s="16">
        <v>7226.2799999999988</v>
      </c>
      <c r="Y96" s="31" t="s">
        <v>17</v>
      </c>
      <c r="Z96" s="31" t="s">
        <v>69</v>
      </c>
    </row>
    <row r="97" spans="6:26" x14ac:dyDescent="0.25">
      <c r="N97" s="26" t="s">
        <v>39</v>
      </c>
      <c r="O97" s="16">
        <v>8856.1800000000039</v>
      </c>
      <c r="Y97" s="31" t="s">
        <v>68</v>
      </c>
      <c r="Z97" t="s">
        <v>65</v>
      </c>
    </row>
    <row r="98" spans="6:26" x14ac:dyDescent="0.25">
      <c r="N98" s="26" t="s">
        <v>40</v>
      </c>
      <c r="O98" s="16">
        <v>9494.9100000000089</v>
      </c>
      <c r="Y98" s="26" t="s">
        <v>42</v>
      </c>
      <c r="Z98" s="39">
        <v>-665.28</v>
      </c>
    </row>
    <row r="99" spans="6:26" x14ac:dyDescent="0.25">
      <c r="N99" s="26" t="s">
        <v>41</v>
      </c>
      <c r="O99" s="16">
        <v>7151.9400000000041</v>
      </c>
      <c r="Y99" s="26" t="s">
        <v>43</v>
      </c>
      <c r="Z99" s="39">
        <v>166.32</v>
      </c>
    </row>
    <row r="100" spans="6:26" x14ac:dyDescent="0.25">
      <c r="N100" s="26" t="s">
        <v>42</v>
      </c>
      <c r="O100" s="16">
        <v>8944.5600000000068</v>
      </c>
    </row>
    <row r="101" spans="6:26" x14ac:dyDescent="0.25">
      <c r="N101" s="26" t="s">
        <v>43</v>
      </c>
      <c r="O101" s="16">
        <v>2963.8799999999997</v>
      </c>
    </row>
    <row r="102" spans="6:26" x14ac:dyDescent="0.25">
      <c r="N102" s="26" t="s">
        <v>44</v>
      </c>
      <c r="O102" s="16">
        <v>1045.3499999999999</v>
      </c>
    </row>
    <row r="103" spans="6:26" x14ac:dyDescent="0.25">
      <c r="N103" s="26" t="s">
        <v>45</v>
      </c>
      <c r="O103" s="16">
        <v>1963.4399999999994</v>
      </c>
    </row>
    <row r="105" spans="6:26" x14ac:dyDescent="0.25">
      <c r="F105" s="31" t="s">
        <v>32</v>
      </c>
      <c r="G105" t="s">
        <v>70</v>
      </c>
    </row>
    <row r="107" spans="6:26" x14ac:dyDescent="0.25">
      <c r="F107" s="31" t="s">
        <v>68</v>
      </c>
      <c r="G107" t="s">
        <v>17</v>
      </c>
    </row>
    <row r="108" spans="6:26" x14ac:dyDescent="0.25">
      <c r="F108" s="26" t="s">
        <v>33</v>
      </c>
      <c r="G108" s="39">
        <v>5719.04</v>
      </c>
    </row>
    <row r="109" spans="6:26" x14ac:dyDescent="0.25">
      <c r="F109" s="26" t="s">
        <v>35</v>
      </c>
      <c r="G109" s="39">
        <v>8158.8099999999968</v>
      </c>
    </row>
    <row r="110" spans="6:26" x14ac:dyDescent="0.25">
      <c r="F110" s="26" t="s">
        <v>36</v>
      </c>
      <c r="G110" s="39">
        <v>10081.529999999997</v>
      </c>
    </row>
    <row r="111" spans="6:26" x14ac:dyDescent="0.25">
      <c r="F111" s="26" t="s">
        <v>37</v>
      </c>
      <c r="G111" s="39">
        <v>7238.4299999999994</v>
      </c>
    </row>
    <row r="112" spans="6:26" x14ac:dyDescent="0.25">
      <c r="F112" s="26" t="s">
        <v>38</v>
      </c>
      <c r="G112" s="39">
        <v>14690.160000000005</v>
      </c>
    </row>
    <row r="113" spans="6:7" x14ac:dyDescent="0.25">
      <c r="F113" s="26" t="s">
        <v>39</v>
      </c>
      <c r="G113" s="39">
        <v>14859.990000000007</v>
      </c>
    </row>
    <row r="114" spans="6:7" x14ac:dyDescent="0.25">
      <c r="F114" s="26" t="s">
        <v>40</v>
      </c>
      <c r="G114" s="39">
        <v>12825.630000000005</v>
      </c>
    </row>
    <row r="115" spans="6:7" x14ac:dyDescent="0.25">
      <c r="F115" s="26" t="s">
        <v>41</v>
      </c>
      <c r="G115" s="39">
        <v>13307.130000000001</v>
      </c>
    </row>
    <row r="116" spans="6:7" x14ac:dyDescent="0.25">
      <c r="F116" s="26" t="s">
        <v>42</v>
      </c>
      <c r="G116" s="39">
        <v>15633.720000000007</v>
      </c>
    </row>
    <row r="117" spans="6:7" x14ac:dyDescent="0.25">
      <c r="F117" s="26" t="s">
        <v>43</v>
      </c>
      <c r="G117" s="39">
        <v>9729.7199999999993</v>
      </c>
    </row>
    <row r="118" spans="6:7" x14ac:dyDescent="0.25">
      <c r="F118" s="26" t="s">
        <v>44</v>
      </c>
      <c r="G118" s="39">
        <v>3590.5499999999997</v>
      </c>
    </row>
    <row r="119" spans="6:7" x14ac:dyDescent="0.25">
      <c r="F119" s="26" t="s">
        <v>45</v>
      </c>
      <c r="G119" s="39">
        <v>3808.71</v>
      </c>
    </row>
  </sheetData>
  <pageMargins left="0.7" right="0.7" top="0.75" bottom="0.75" header="0.3" footer="0.3"/>
  <pageSetup paperSize="9" orientation="portrait" r:id="rId19"/>
  <headerFooter>
    <oddFooter>&amp;R&amp;1#&amp;"Calibri"&amp;8&amp;K737373General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06148A07BC1884DB7D6EBB92EEE3D43" ma:contentTypeVersion="11" ma:contentTypeDescription="Create a new document." ma:contentTypeScope="" ma:versionID="029548198d13f311ce2a2086b904d443">
  <xsd:schema xmlns:xsd="http://www.w3.org/2001/XMLSchema" xmlns:xs="http://www.w3.org/2001/XMLSchema" xmlns:p="http://schemas.microsoft.com/office/2006/metadata/properties" xmlns:ns3="3d3486e4-fd93-4cc5-90fe-ccb21c27b54c" xmlns:ns4="b6f4d82c-6cd3-4f56-8327-95e58ae083a8" targetNamespace="http://schemas.microsoft.com/office/2006/metadata/properties" ma:root="true" ma:fieldsID="8c3abcf3e9bb6b6c6fc24fe9c5cfd36b" ns3:_="" ns4:_="">
    <xsd:import namespace="3d3486e4-fd93-4cc5-90fe-ccb21c27b54c"/>
    <xsd:import namespace="b6f4d82c-6cd3-4f56-8327-95e58ae083a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3486e4-fd93-4cc5-90fe-ccb21c27b5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6f4d82c-6cd3-4f56-8327-95e58ae083a8"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42950ED-525C-44D7-8EA4-1D6A23294833}">
  <ds:schemaRefs>
    <ds:schemaRef ds:uri="http://schemas.microsoft.com/sharepoint/v3/contenttype/forms"/>
  </ds:schemaRefs>
</ds:datastoreItem>
</file>

<file path=customXml/itemProps2.xml><?xml version="1.0" encoding="utf-8"?>
<ds:datastoreItem xmlns:ds="http://schemas.openxmlformats.org/officeDocument/2006/customXml" ds:itemID="{AC72F43C-0EA0-42AA-9624-D82EADCFECDB}">
  <ds:schemaRefs>
    <ds:schemaRef ds:uri="http://purl.org/dc/dcmitype/"/>
    <ds:schemaRef ds:uri="http://purl.org/dc/term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b6f4d82c-6cd3-4f56-8327-95e58ae083a8"/>
    <ds:schemaRef ds:uri="3d3486e4-fd93-4cc5-90fe-ccb21c27b54c"/>
  </ds:schemaRefs>
</ds:datastoreItem>
</file>

<file path=customXml/itemProps3.xml><?xml version="1.0" encoding="utf-8"?>
<ds:datastoreItem xmlns:ds="http://schemas.openxmlformats.org/officeDocument/2006/customXml" ds:itemID="{77AE8936-AEFA-443E-B735-3D0D316CFF6F}">
  <ds:schemaRefs>
    <ds:schemaRef ds:uri="http://schemas.microsoft.com/DataMashup"/>
  </ds:schemaRefs>
</ds:datastoreItem>
</file>

<file path=customXml/itemProps4.xml><?xml version="1.0" encoding="utf-8"?>
<ds:datastoreItem xmlns:ds="http://schemas.openxmlformats.org/officeDocument/2006/customXml" ds:itemID="{74594252-5577-49C7-BD24-2055DA2A46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3486e4-fd93-4cc5-90fe-ccb21c27b54c"/>
    <ds:schemaRef ds:uri="b6f4d82c-6cd3-4f56-8327-95e58ae083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vt:i4>
      </vt:variant>
    </vt:vector>
  </HeadingPairs>
  <TitlesOfParts>
    <vt:vector size="5" baseType="lpstr">
      <vt:lpstr>Manual de Uso</vt:lpstr>
      <vt:lpstr>DashBoard Análise</vt:lpstr>
      <vt:lpstr>Registro de Cantoneira</vt:lpstr>
      <vt:lpstr>Sheet2</vt:lpstr>
      <vt:lpstr>Dados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dePaula MatheusEmanuel</dc:creator>
  <cp:keywords/>
  <dc:description/>
  <cp:lastModifiedBy>Matheus Emanuel de Paula</cp:lastModifiedBy>
  <cp:revision/>
  <dcterms:created xsi:type="dcterms:W3CDTF">2015-06-05T18:17:20Z</dcterms:created>
  <dcterms:modified xsi:type="dcterms:W3CDTF">2025-10-30T17:15:34Z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0x010100D06148A07BC1884DB7D6EBB92EEE3D43</vt:lpwstr>
  </property>
  <property fmtid="{D5CDD505-2E9C-101B-9397-08002B2CF9AE}" pid="3" name="MSIP_Label_25b55a0c-bcf3-45fe-8d6b-e30a646beadd_Enabled">
    <vt:lpwstr>true</vt:lpwstr>
  </property>
  <property fmtid="{D5CDD505-2E9C-101B-9397-08002B2CF9AE}" pid="4" name="MSIP_Label_25b55a0c-bcf3-45fe-8d6b-e30a646beadd_SetDate">
    <vt:lpwstr>2021-10-22T15:28:25Z</vt:lpwstr>
  </property>
  <property fmtid="{D5CDD505-2E9C-101B-9397-08002B2CF9AE}" pid="5" name="MSIP_Label_25b55a0c-bcf3-45fe-8d6b-e30a646beadd_Method">
    <vt:lpwstr>Privileged</vt:lpwstr>
  </property>
  <property fmtid="{D5CDD505-2E9C-101B-9397-08002B2CF9AE}" pid="6" name="MSIP_Label_25b55a0c-bcf3-45fe-8d6b-e30a646beadd_Name">
    <vt:lpwstr>Internal</vt:lpwstr>
  </property>
  <property fmtid="{D5CDD505-2E9C-101B-9397-08002B2CF9AE}" pid="7" name="MSIP_Label_25b55a0c-bcf3-45fe-8d6b-e30a646beadd_SiteId">
    <vt:lpwstr>d2d2794a-61cc-4823-9690-8e288fd554cc</vt:lpwstr>
  </property>
  <property fmtid="{D5CDD505-2E9C-101B-9397-08002B2CF9AE}" pid="8" name="MSIP_Label_25b55a0c-bcf3-45fe-8d6b-e30a646beadd_ActionId">
    <vt:lpwstr>9cb2e1c4-e7c6-4ef2-b2f0-9e0811e8ab49</vt:lpwstr>
  </property>
  <property fmtid="{D5CDD505-2E9C-101B-9397-08002B2CF9AE}" pid="9" name="MSIP_Label_25b55a0c-bcf3-45fe-8d6b-e30a646beadd_ContentBits">
    <vt:lpwstr>2</vt:lpwstr>
  </property>
</Properties>
</file>